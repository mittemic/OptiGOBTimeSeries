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uigalwayie-my.sharepoint.com/personal/0121302s_universityofgalway_ie/Documents/03. RESEARCH/01. LIVE PROEJCTS/CAMG Modelling/18. MODEL DEVELOPMENT/INTERFACE/Revisions/"/>
    </mc:Choice>
  </mc:AlternateContent>
  <xr:revisionPtr revIDLastSave="0" documentId="8_{CA54BE08-A35F-4265-88C1-53E433BD6089}" xr6:coauthVersionLast="47" xr6:coauthVersionMax="47" xr10:uidLastSave="{00000000-0000-0000-0000-000000000000}"/>
  <bookViews>
    <workbookView xWindow="28680" yWindow="-120" windowWidth="29040" windowHeight="15840" firstSheet="3" activeTab="5" xr2:uid="{B86DC117-0B88-41ED-9D24-CA48C208C5B6}"/>
  </bookViews>
  <sheets>
    <sheet name="existing_forest" sheetId="1" r:id="rId1"/>
    <sheet name="afforestation" sheetId="2" r:id="rId2"/>
    <sheet name="nz_calc_included" sheetId="5" r:id="rId3"/>
    <sheet name="ad_biomethane_strategy" sheetId="6" r:id="rId4"/>
    <sheet name="additional_ad" sheetId="7" r:id="rId5"/>
    <sheet name="willow_beccs" sheetId="8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8" l="1"/>
  <c r="C25" i="8"/>
  <c r="B25" i="8"/>
  <c r="G25" i="8" s="1"/>
  <c r="I20" i="8"/>
  <c r="I21" i="8" s="1"/>
  <c r="I22" i="8" s="1"/>
  <c r="I23" i="8" s="1"/>
  <c r="I24" i="8" s="1"/>
  <c r="D20" i="8"/>
  <c r="C20" i="8"/>
  <c r="B20" i="8"/>
  <c r="G20" i="8" s="1"/>
  <c r="O50" i="7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N50" i="7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L50" i="7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21" i="7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K21" i="7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J21" i="7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I21" i="7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H21" i="7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G21" i="7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E21" i="7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B21" i="7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N20" i="7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L20" i="7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D20" i="7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O15" i="7"/>
  <c r="O16" i="7" s="1"/>
  <c r="O17" i="7" s="1"/>
  <c r="O18" i="7" s="1"/>
  <c r="O19" i="7" s="1"/>
  <c r="M15" i="7"/>
  <c r="M16" i="7" s="1"/>
  <c r="L15" i="7"/>
  <c r="K15" i="7"/>
  <c r="K16" i="7" s="1"/>
  <c r="K17" i="7" s="1"/>
  <c r="K18" i="7" s="1"/>
  <c r="K19" i="7" s="1"/>
  <c r="J15" i="7"/>
  <c r="J16" i="7" s="1"/>
  <c r="J17" i="7" s="1"/>
  <c r="J18" i="7" s="1"/>
  <c r="J19" i="7" s="1"/>
  <c r="I15" i="7"/>
  <c r="I16" i="7" s="1"/>
  <c r="I17" i="7" s="1"/>
  <c r="I18" i="7" s="1"/>
  <c r="I19" i="7" s="1"/>
  <c r="H15" i="7"/>
  <c r="H16" i="7" s="1"/>
  <c r="H17" i="7" s="1"/>
  <c r="H18" i="7" s="1"/>
  <c r="H19" i="7" s="1"/>
  <c r="G15" i="7"/>
  <c r="G16" i="7" s="1"/>
  <c r="G17" i="7" s="1"/>
  <c r="G18" i="7" s="1"/>
  <c r="G19" i="7" s="1"/>
  <c r="E15" i="7"/>
  <c r="E16" i="7" s="1"/>
  <c r="E17" i="7" s="1"/>
  <c r="E18" i="7" s="1"/>
  <c r="E19" i="7" s="1"/>
  <c r="D15" i="7"/>
  <c r="D16" i="7" s="1"/>
  <c r="D17" i="7" s="1"/>
  <c r="D18" i="7" s="1"/>
  <c r="D19" i="7" s="1"/>
  <c r="C15" i="7"/>
  <c r="C16" i="7" s="1"/>
  <c r="C17" i="7" s="1"/>
  <c r="C18" i="7" s="1"/>
  <c r="C19" i="7" s="1"/>
  <c r="B15" i="7"/>
  <c r="B16" i="7" s="1"/>
  <c r="B17" i="7" s="1"/>
  <c r="B18" i="7" s="1"/>
  <c r="B19" i="7" s="1"/>
  <c r="D21" i="8" l="1"/>
  <c r="F20" i="8"/>
  <c r="E20" i="8"/>
  <c r="D26" i="8"/>
  <c r="F25" i="8"/>
  <c r="E25" i="8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M17" i="7"/>
  <c r="L16" i="7"/>
  <c r="D27" i="8" l="1"/>
  <c r="F26" i="8"/>
  <c r="C26" i="8"/>
  <c r="B26" i="8" s="1"/>
  <c r="G26" i="8" s="1"/>
  <c r="D22" i="8"/>
  <c r="F21" i="8"/>
  <c r="E21" i="8"/>
  <c r="C21" i="8"/>
  <c r="B21" i="8" s="1"/>
  <c r="G21" i="8" s="1"/>
  <c r="M18" i="7"/>
  <c r="L17" i="7"/>
  <c r="D23" i="8" l="1"/>
  <c r="F22" i="8"/>
  <c r="E22" i="8"/>
  <c r="C22" i="8"/>
  <c r="B22" i="8" s="1"/>
  <c r="G22" i="8" s="1"/>
  <c r="D28" i="8"/>
  <c r="F27" i="8"/>
  <c r="C27" i="8"/>
  <c r="B27" i="8" s="1"/>
  <c r="G27" i="8" s="1"/>
  <c r="M19" i="7"/>
  <c r="L19" i="7" s="1"/>
  <c r="L18" i="7"/>
  <c r="D29" i="8" l="1"/>
  <c r="F28" i="8"/>
  <c r="C28" i="8"/>
  <c r="B28" i="8" s="1"/>
  <c r="G28" i="8" s="1"/>
  <c r="D24" i="8"/>
  <c r="F23" i="8"/>
  <c r="E23" i="8"/>
  <c r="C23" i="8"/>
  <c r="B23" i="8" s="1"/>
  <c r="G23" i="8" s="1"/>
  <c r="F24" i="8" l="1"/>
  <c r="E24" i="8"/>
  <c r="C24" i="8"/>
  <c r="B24" i="8" s="1"/>
  <c r="G24" i="8" s="1"/>
  <c r="D30" i="8"/>
  <c r="F29" i="8"/>
  <c r="C29" i="8"/>
  <c r="B29" i="8" s="1"/>
  <c r="G29" i="8" s="1"/>
  <c r="D31" i="8" l="1"/>
  <c r="F30" i="8"/>
  <c r="C30" i="8"/>
  <c r="B30" i="8" s="1"/>
  <c r="G30" i="8" s="1"/>
  <c r="D32" i="8" l="1"/>
  <c r="F31" i="8"/>
  <c r="C31" i="8"/>
  <c r="B31" i="8" s="1"/>
  <c r="G31" i="8" s="1"/>
  <c r="D33" i="8" l="1"/>
  <c r="F32" i="8"/>
  <c r="C32" i="8"/>
  <c r="B32" i="8" s="1"/>
  <c r="G32" i="8" s="1"/>
  <c r="D34" i="8" l="1"/>
  <c r="F33" i="8"/>
  <c r="C33" i="8"/>
  <c r="B33" i="8" s="1"/>
  <c r="G33" i="8" s="1"/>
  <c r="D35" i="8" l="1"/>
  <c r="F34" i="8"/>
  <c r="C34" i="8"/>
  <c r="B34" i="8" s="1"/>
  <c r="G34" i="8" s="1"/>
  <c r="D36" i="8" l="1"/>
  <c r="F35" i="8"/>
  <c r="C35" i="8"/>
  <c r="B35" i="8" s="1"/>
  <c r="G35" i="8" s="1"/>
  <c r="D37" i="8" l="1"/>
  <c r="F36" i="8"/>
  <c r="C36" i="8"/>
  <c r="B36" i="8" s="1"/>
  <c r="G36" i="8" s="1"/>
  <c r="D38" i="8" l="1"/>
  <c r="F37" i="8"/>
  <c r="C37" i="8"/>
  <c r="B37" i="8" s="1"/>
  <c r="G37" i="8" s="1"/>
  <c r="D39" i="8" l="1"/>
  <c r="F38" i="8"/>
  <c r="C38" i="8"/>
  <c r="B38" i="8" s="1"/>
  <c r="G38" i="8" s="1"/>
  <c r="D40" i="8" l="1"/>
  <c r="F39" i="8"/>
  <c r="C39" i="8"/>
  <c r="B39" i="8" s="1"/>
  <c r="G39" i="8" s="1"/>
  <c r="D41" i="8" l="1"/>
  <c r="F40" i="8"/>
  <c r="C40" i="8"/>
  <c r="B40" i="8" s="1"/>
  <c r="G40" i="8" s="1"/>
  <c r="D42" i="8" l="1"/>
  <c r="F41" i="8"/>
  <c r="C41" i="8"/>
  <c r="B41" i="8" s="1"/>
  <c r="G41" i="8" s="1"/>
  <c r="D43" i="8" l="1"/>
  <c r="F42" i="8"/>
  <c r="C42" i="8"/>
  <c r="B42" i="8" s="1"/>
  <c r="G42" i="8" s="1"/>
  <c r="D44" i="8" l="1"/>
  <c r="F43" i="8"/>
  <c r="C43" i="8"/>
  <c r="B43" i="8" s="1"/>
  <c r="G43" i="8" s="1"/>
  <c r="D45" i="8" l="1"/>
  <c r="F44" i="8"/>
  <c r="C44" i="8"/>
  <c r="B44" i="8" s="1"/>
  <c r="G44" i="8" s="1"/>
  <c r="D46" i="8" l="1"/>
  <c r="C45" i="8"/>
  <c r="B45" i="8" s="1"/>
  <c r="G45" i="8" s="1"/>
  <c r="D47" i="8" l="1"/>
  <c r="C46" i="8"/>
  <c r="B46" i="8" s="1"/>
  <c r="G46" i="8" s="1"/>
  <c r="D48" i="8" l="1"/>
  <c r="C47" i="8"/>
  <c r="B47" i="8" s="1"/>
  <c r="G47" i="8" s="1"/>
  <c r="D49" i="8" l="1"/>
  <c r="C48" i="8"/>
  <c r="B48" i="8" s="1"/>
  <c r="G48" i="8" s="1"/>
  <c r="D50" i="8" l="1"/>
  <c r="C49" i="8"/>
  <c r="B49" i="8" s="1"/>
  <c r="G49" i="8" s="1"/>
  <c r="D51" i="8" l="1"/>
  <c r="C50" i="8"/>
  <c r="B50" i="8" s="1"/>
  <c r="G50" i="8" s="1"/>
  <c r="D52" i="8" l="1"/>
  <c r="C51" i="8"/>
  <c r="B51" i="8" s="1"/>
  <c r="G51" i="8" s="1"/>
  <c r="D53" i="8" l="1"/>
  <c r="C52" i="8"/>
  <c r="B52" i="8" s="1"/>
  <c r="G52" i="8" s="1"/>
  <c r="D54" i="8" l="1"/>
  <c r="C53" i="8"/>
  <c r="B53" i="8" s="1"/>
  <c r="G53" i="8" s="1"/>
  <c r="D55" i="8" l="1"/>
  <c r="C54" i="8"/>
  <c r="B54" i="8" s="1"/>
  <c r="G54" i="8" s="1"/>
  <c r="D56" i="8" l="1"/>
  <c r="C55" i="8"/>
  <c r="B55" i="8" s="1"/>
  <c r="G55" i="8" s="1"/>
  <c r="D57" i="8" l="1"/>
  <c r="C56" i="8"/>
  <c r="B56" i="8" s="1"/>
  <c r="G56" i="8" s="1"/>
  <c r="D58" i="8" l="1"/>
  <c r="C57" i="8"/>
  <c r="B57" i="8" s="1"/>
  <c r="G57" i="8" s="1"/>
  <c r="D59" i="8" l="1"/>
  <c r="C58" i="8"/>
  <c r="B58" i="8" s="1"/>
  <c r="G58" i="8" s="1"/>
  <c r="D60" i="8" l="1"/>
  <c r="C59" i="8"/>
  <c r="B59" i="8" s="1"/>
  <c r="G59" i="8" s="1"/>
  <c r="D61" i="8" l="1"/>
  <c r="C60" i="8"/>
  <c r="B60" i="8" s="1"/>
  <c r="G60" i="8" s="1"/>
  <c r="D62" i="8" l="1"/>
  <c r="C61" i="8"/>
  <c r="B61" i="8" s="1"/>
  <c r="G61" i="8" s="1"/>
  <c r="D63" i="8" l="1"/>
  <c r="C62" i="8"/>
  <c r="B62" i="8" s="1"/>
  <c r="G62" i="8" s="1"/>
  <c r="D64" i="8" l="1"/>
  <c r="C63" i="8"/>
  <c r="B63" i="8" s="1"/>
  <c r="G63" i="8" s="1"/>
  <c r="D65" i="8" l="1"/>
  <c r="C64" i="8"/>
  <c r="B64" i="8" s="1"/>
  <c r="G64" i="8" s="1"/>
  <c r="D66" i="8" l="1"/>
  <c r="C65" i="8"/>
  <c r="B65" i="8" s="1"/>
  <c r="G65" i="8" s="1"/>
  <c r="D67" i="8" l="1"/>
  <c r="C66" i="8"/>
  <c r="B66" i="8" s="1"/>
  <c r="G66" i="8" s="1"/>
  <c r="D68" i="8" l="1"/>
  <c r="C67" i="8"/>
  <c r="B67" i="8" s="1"/>
  <c r="G67" i="8" s="1"/>
  <c r="D69" i="8" l="1"/>
  <c r="C68" i="8"/>
  <c r="B68" i="8" s="1"/>
  <c r="G68" i="8" s="1"/>
  <c r="D70" i="8" l="1"/>
  <c r="C69" i="8"/>
  <c r="B69" i="8" s="1"/>
  <c r="G69" i="8" s="1"/>
  <c r="D71" i="8" l="1"/>
  <c r="C70" i="8"/>
  <c r="B70" i="8" s="1"/>
  <c r="G70" i="8" s="1"/>
  <c r="D72" i="8" l="1"/>
  <c r="C71" i="8"/>
  <c r="B71" i="8" s="1"/>
  <c r="G71" i="8" s="1"/>
  <c r="D73" i="8" l="1"/>
  <c r="C72" i="8"/>
  <c r="B72" i="8" s="1"/>
  <c r="G72" i="8" s="1"/>
  <c r="D74" i="8" l="1"/>
  <c r="C73" i="8"/>
  <c r="B73" i="8" s="1"/>
  <c r="G73" i="8" s="1"/>
  <c r="D75" i="8" l="1"/>
  <c r="C74" i="8"/>
  <c r="B74" i="8" s="1"/>
  <c r="G74" i="8" s="1"/>
  <c r="D76" i="8" l="1"/>
  <c r="C75" i="8"/>
  <c r="B75" i="8" s="1"/>
  <c r="G75" i="8" s="1"/>
  <c r="D77" i="8" l="1"/>
  <c r="C76" i="8"/>
  <c r="B76" i="8" s="1"/>
  <c r="G76" i="8" s="1"/>
  <c r="D78" i="8" l="1"/>
  <c r="C77" i="8"/>
  <c r="B77" i="8" s="1"/>
  <c r="G77" i="8" s="1"/>
  <c r="D79" i="8" l="1"/>
  <c r="C78" i="8"/>
  <c r="B78" i="8" s="1"/>
  <c r="G78" i="8" s="1"/>
  <c r="D80" i="8" l="1"/>
  <c r="C79" i="8"/>
  <c r="B79" i="8" s="1"/>
  <c r="G79" i="8" s="1"/>
  <c r="D81" i="8" l="1"/>
  <c r="C80" i="8"/>
  <c r="B80" i="8" s="1"/>
  <c r="G80" i="8" s="1"/>
  <c r="D82" i="8" l="1"/>
  <c r="C81" i="8"/>
  <c r="B81" i="8" s="1"/>
  <c r="G81" i="8" s="1"/>
  <c r="D83" i="8" l="1"/>
  <c r="C82" i="8"/>
  <c r="B82" i="8" s="1"/>
  <c r="G82" i="8" s="1"/>
  <c r="D84" i="8" l="1"/>
  <c r="C83" i="8"/>
  <c r="B83" i="8" s="1"/>
  <c r="G83" i="8" s="1"/>
  <c r="D85" i="8" l="1"/>
  <c r="C85" i="8" s="1"/>
  <c r="B85" i="8" s="1"/>
  <c r="G85" i="8" s="1"/>
  <c r="C84" i="8"/>
  <c r="B84" i="8" s="1"/>
  <c r="G8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tc={33FC1315-B01C-45DE-B9E7-CAA028D690C0}</author>
  </authors>
  <commentList>
    <comment ref="D6" authorId="0" shapeId="0" xr:uid="{33FC1315-B01C-45DE-B9E7-CAA028D690C0}">
      <text>
        <t>[Threaded comment]
Your version of Excel allows you to read this threaded comment; however, any edits to it will get removed if the file is opened in a newer version of Excel. Learn more: https://go.microsoft.com/fwlink/?linkid=870924
Comment:
    38.4%, 2022 National Forest Inventory report, page ii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tc={CA2D5F5B-D88A-468B-ADE2-6386C613A13E}</author>
    <author>tc={F7C75ED3-C267-4283-9CF1-4CAA38467806}</author>
    <author>tc={6167A754-81D0-43D3-8258-836DCFBC2A2C}</author>
  </authors>
  <commentList>
    <comment ref="A4" authorId="0" shapeId="0" xr:uid="{CA2D5F5B-D88A-468B-ADE2-6386C613A13E}">
      <text>
        <t>[Threaded comment]
Your version of Excel allows you to read this threaded comment; however, any edits to it will get removed if the file is opened in a newer version of Excel. Learn more: https://go.microsoft.com/fwlink/?linkid=870924
Comment:
    Ratio broadleaf to conifer species</t>
      </text>
    </comment>
    <comment ref="A5" authorId="1" shapeId="0" xr:uid="{F7C75ED3-C267-4283-9CF1-4CAA38467806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 to mineral soil ratio</t>
      </text>
    </comment>
    <comment ref="B8" authorId="2" shapeId="0" xr:uid="{6167A754-81D0-43D3-8258-836DCFBC2A2C}">
      <text>
        <t>[Threaded comment]
Your version of Excel allows you to read this threaded comment; however, any edits to it will get removed if the file is opened in a newer version of Excel. Learn more: https://go.microsoft.com/fwlink/?linkid=870924
Comment:
    Ramps up to 1000 ha/yr with three years at half rate</t>
      </text>
    </comment>
  </commentList>
</comments>
</file>

<file path=xl/sharedStrings.xml><?xml version="1.0" encoding="utf-8"?>
<sst xmlns="http://schemas.openxmlformats.org/spreadsheetml/2006/main" count="514" uniqueCount="54">
  <si>
    <t>metric</t>
  </si>
  <si>
    <t>area</t>
  </si>
  <si>
    <t>hnv_area</t>
  </si>
  <si>
    <t>organic_soil_area</t>
  </si>
  <si>
    <t>ghg_fluxes</t>
  </si>
  <si>
    <t>harvest_volume</t>
  </si>
  <si>
    <t>hwp_c_storage</t>
  </si>
  <si>
    <t>beccs</t>
  </si>
  <si>
    <t>hwp_material_substitution_credit</t>
  </si>
  <si>
    <t>wood_energy</t>
  </si>
  <si>
    <t>hwp_energy_substitution_credit</t>
  </si>
  <si>
    <t>unit</t>
  </si>
  <si>
    <t>ha</t>
  </si>
  <si>
    <t>CO2e kt</t>
  </si>
  <si>
    <t>m3</t>
  </si>
  <si>
    <t>MWh</t>
  </si>
  <si>
    <t>harvest_rate</t>
  </si>
  <si>
    <t>any</t>
  </si>
  <si>
    <t>high</t>
  </si>
  <si>
    <t>low</t>
  </si>
  <si>
    <t>ccs</t>
  </si>
  <si>
    <t>yes</t>
  </si>
  <si>
    <t>no</t>
  </si>
  <si>
    <t>year</t>
  </si>
  <si>
    <t>bl_c_ratio</t>
  </si>
  <si>
    <t>o_m_ratio</t>
  </si>
  <si>
    <t>0</t>
  </si>
  <si>
    <t>system</t>
  </si>
  <si>
    <t>no_ccs</t>
  </si>
  <si>
    <t>existing_forest</t>
  </si>
  <si>
    <t>afforestation</t>
  </si>
  <si>
    <t>biomethane_energy</t>
  </si>
  <si>
    <t>co2_emissions</t>
  </si>
  <si>
    <t>ch4_emissions</t>
  </si>
  <si>
    <t>n2o_emissions</t>
  </si>
  <si>
    <t>co2_substitution_credit</t>
  </si>
  <si>
    <t>ch4_substitution_credit</t>
  </si>
  <si>
    <t>n2o_substitution_credit</t>
  </si>
  <si>
    <t>BECCS</t>
  </si>
  <si>
    <t>GWh</t>
  </si>
  <si>
    <t>kha</t>
  </si>
  <si>
    <t>kt</t>
  </si>
  <si>
    <t>kt CO2</t>
  </si>
  <si>
    <t>grass_dry_matter</t>
  </si>
  <si>
    <t>n20_emissions</t>
  </si>
  <si>
    <t>nh3_emissions</t>
  </si>
  <si>
    <t>n_to_water_emissions</t>
  </si>
  <si>
    <t>p_to_water_emissions</t>
  </si>
  <si>
    <t>co2_emission_credit</t>
  </si>
  <si>
    <t>ktCO2</t>
  </si>
  <si>
    <t>willow</t>
  </si>
  <si>
    <t>willow_dry_matter</t>
  </si>
  <si>
    <t>lulucf_emissions_credit</t>
  </si>
  <si>
    <t>substitution_credit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</si>
</sst>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/>
    <xf numFmtId="3" fontId="3" fillId="0" borderId="0" xfId="0" applyNumberFormat="1" applyFont="1"/>
    <xf numFmtId="49" fontId="3" fillId="0" borderId="0" xfId="0" applyNumberFormat="1" applyFont="1"/>
    <xf numFmtId="0" fontId="2" fillId="0" borderId="0" xfId="0" applyFont="1"/>
    <xf numFmtId="3" fontId="0" fillId="0" borderId="0" xfId="0" applyNumberFormat="1"/>
    <xf numFmtId="1" fontId="0" fillId="0" borderId="0" xfId="0" applyNumberFormat="1"/>
    <xf numFmtId="3" fontId="4" fillId="0" borderId="0" xfId="0" applyNumberFormat="1" applyFont="1"/>
    <xf numFmtId="3" fontId="1" fillId="0" borderId="0" xfId="0" applyNumberFormat="1" applyFont="1"/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9" fontId="5" fillId="0" borderId="0" xfId="0" applyNumberFormat="1" applyFont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9" fontId="6" fillId="0" borderId="0" xfId="0" applyNumberFormat="1" applyFont="1" applyAlignment="1">
      <alignment horizontal="center" vertical="center" wrapText="1"/>
    </xf>
    <xf numFmtId="9" fontId="6" fillId="0" borderId="0" xfId="0" applyNumberFormat="1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9" fontId="0" fillId="0" borderId="0" xfId="0" applyNumberForma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7" fillId="0" borderId="0" xfId="0" applyNumberFormat="1" applyFont="1" applyAlignment="1">
      <alignment horizontal="center" vertical="center" wrapText="1"/>
    </xf>
    <xf numFmtId="9" fontId="1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9" fontId="5" fillId="0" borderId="0" xfId="0" applyNumberFormat="1" applyFont="1" applyAlignment="1">
      <alignment vertical="center" wrapText="1"/>
    </xf>
    <xf numFmtId="0" fontId="8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tyles, David" id="{3506DEB5-6BF6-4F19-B07D-0F4ACAB41504}" userId="S::0121302S@universityofgalway.ie::f7cff9a3-524f-4a64-b4d2-ea237aed096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6-01-15T12:55:22.34" personId="{3506DEB5-6BF6-4F19-B07D-0F4ACAB41504}" id="{33FC1315-B01C-45DE-B9E7-CAA028D690C0}">
    <text>38.4%, 2022 National Forest Inventory report, page ii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4" dT="2026-01-15T12:31:46.51" personId="{3506DEB5-6BF6-4F19-B07D-0F4ACAB41504}" id="{CA2D5F5B-D88A-468B-ADE2-6386C613A13E}">
    <text>Ratio broadleaf to conifer species</text>
  </threadedComment>
  <threadedComment ref="A5" dT="2026-01-15T12:32:17.89" personId="{3506DEB5-6BF6-4F19-B07D-0F4ACAB41504}" id="{F7C75ED3-C267-4283-9CF1-4CAA38467806}">
    <text>Organic to mineral soil ratio</text>
  </threadedComment>
  <threadedComment ref="B8" dT="2026-01-15T13:57:25.45" personId="{3506DEB5-6BF6-4F19-B07D-0F4ACAB41504}" id="{6167A754-81D0-43D3-8258-836DCFBC2A2C}">
    <text>Ramps up to 1000 ha/yr with three years at half rate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94309-C3F3-4378-9548-578A61818027}">
  <dimension ref="A1:X85"/>
  <sheetViews>
    <sheetView workbookViewId="0">
      <pane xSplit="1" ySplit="5" topLeftCell="B6" activePane="bottomRight" state="frozen"/>
      <selection pane="bottomRight" activeCell="U24" sqref="U24"/>
      <selection pane="bottomLeft" activeCell="A6" sqref="A6"/>
      <selection pane="topRight" activeCell="B1" sqref="B1"/>
    </sheetView>
  </sheetViews>
  <sheetFormatPr defaultRowHeight="15" customHeight="1"/>
  <cols>
    <col min="1" max="1" width="13.140625" style="6" customWidth="1"/>
    <col min="2" max="4" width="8.7109375" style="6"/>
    <col min="5" max="6" width="8.7109375" style="10"/>
    <col min="7" max="7" width="10.85546875" bestFit="1" customWidth="1"/>
    <col min="11" max="12" width="8.85546875" bestFit="1" customWidth="1"/>
    <col min="13" max="14" width="8.85546875" customWidth="1"/>
    <col min="15" max="16" width="8.85546875" bestFit="1" customWidth="1"/>
    <col min="17" max="18" width="8.85546875" customWidth="1"/>
    <col min="19" max="19" width="10.5703125" customWidth="1"/>
    <col min="20" max="20" width="9.7109375" bestFit="1" customWidth="1"/>
    <col min="21" max="22" width="8.85546875" bestFit="1" customWidth="1"/>
  </cols>
  <sheetData>
    <row r="1" spans="1:24" ht="15" customHeight="1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2" t="s">
        <v>4</v>
      </c>
      <c r="G1" s="11" t="s">
        <v>5</v>
      </c>
      <c r="H1" s="11" t="s">
        <v>5</v>
      </c>
      <c r="I1" s="11" t="s">
        <v>6</v>
      </c>
      <c r="J1" s="11" t="s">
        <v>6</v>
      </c>
      <c r="K1" s="11" t="s">
        <v>7</v>
      </c>
      <c r="L1" s="11" t="s">
        <v>7</v>
      </c>
      <c r="M1" s="11" t="s">
        <v>7</v>
      </c>
      <c r="N1" s="11" t="s">
        <v>7</v>
      </c>
      <c r="O1" s="11" t="s">
        <v>8</v>
      </c>
      <c r="P1" s="11" t="s">
        <v>8</v>
      </c>
      <c r="Q1" s="11" t="s">
        <v>8</v>
      </c>
      <c r="R1" s="11" t="s">
        <v>8</v>
      </c>
      <c r="S1" s="11" t="s">
        <v>9</v>
      </c>
      <c r="T1" s="11" t="s">
        <v>9</v>
      </c>
      <c r="U1" s="11" t="s">
        <v>10</v>
      </c>
      <c r="V1" s="11" t="s">
        <v>10</v>
      </c>
      <c r="W1" s="11" t="s">
        <v>10</v>
      </c>
      <c r="X1" s="11" t="s">
        <v>10</v>
      </c>
    </row>
    <row r="2" spans="1:24" s="3" customFormat="1">
      <c r="A2" s="3" t="s">
        <v>11</v>
      </c>
      <c r="B2" s="3" t="s">
        <v>12</v>
      </c>
      <c r="C2" s="3" t="s">
        <v>12</v>
      </c>
      <c r="D2" s="3" t="s">
        <v>12</v>
      </c>
      <c r="E2" s="3" t="s">
        <v>13</v>
      </c>
      <c r="F2" s="3" t="s">
        <v>13</v>
      </c>
      <c r="G2" s="3" t="s">
        <v>14</v>
      </c>
      <c r="H2" s="3" t="s">
        <v>14</v>
      </c>
      <c r="I2" s="3" t="s">
        <v>13</v>
      </c>
      <c r="J2" s="3" t="s">
        <v>13</v>
      </c>
      <c r="K2" s="3" t="s">
        <v>13</v>
      </c>
      <c r="L2" s="3" t="s">
        <v>13</v>
      </c>
      <c r="M2" s="3" t="s">
        <v>13</v>
      </c>
      <c r="N2" s="3" t="s">
        <v>13</v>
      </c>
      <c r="O2" s="3" t="s">
        <v>13</v>
      </c>
      <c r="P2" s="3" t="s">
        <v>13</v>
      </c>
      <c r="Q2" s="3" t="s">
        <v>13</v>
      </c>
      <c r="R2" s="3" t="s">
        <v>13</v>
      </c>
      <c r="S2" s="3" t="s">
        <v>15</v>
      </c>
      <c r="T2" s="3" t="s">
        <v>15</v>
      </c>
      <c r="U2" s="3" t="s">
        <v>13</v>
      </c>
      <c r="V2" s="3" t="s">
        <v>13</v>
      </c>
      <c r="W2" s="3" t="s">
        <v>13</v>
      </c>
      <c r="X2" s="3" t="s">
        <v>13</v>
      </c>
    </row>
    <row r="3" spans="1:24" s="3" customFormat="1">
      <c r="A3" s="3" t="s">
        <v>16</v>
      </c>
      <c r="B3" s="3" t="s">
        <v>17</v>
      </c>
      <c r="C3" s="3" t="s">
        <v>17</v>
      </c>
      <c r="D3" s="3" t="s">
        <v>17</v>
      </c>
      <c r="E3" s="4" t="s">
        <v>18</v>
      </c>
      <c r="F3" s="4" t="s">
        <v>19</v>
      </c>
      <c r="G3" s="4" t="s">
        <v>18</v>
      </c>
      <c r="H3" s="4" t="s">
        <v>19</v>
      </c>
      <c r="I3" s="4" t="s">
        <v>18</v>
      </c>
      <c r="J3" s="4" t="s">
        <v>19</v>
      </c>
      <c r="K3" s="4" t="s">
        <v>18</v>
      </c>
      <c r="L3" s="4" t="s">
        <v>19</v>
      </c>
      <c r="M3" s="4" t="s">
        <v>18</v>
      </c>
      <c r="N3" s="4" t="s">
        <v>19</v>
      </c>
      <c r="O3" s="4" t="s">
        <v>18</v>
      </c>
      <c r="P3" s="4" t="s">
        <v>19</v>
      </c>
      <c r="Q3" s="4" t="s">
        <v>18</v>
      </c>
      <c r="R3" s="4" t="s">
        <v>19</v>
      </c>
      <c r="S3" s="4" t="s">
        <v>18</v>
      </c>
      <c r="T3" s="4" t="s">
        <v>19</v>
      </c>
      <c r="U3" s="4" t="s">
        <v>18</v>
      </c>
      <c r="V3" s="4" t="s">
        <v>19</v>
      </c>
      <c r="W3" s="4" t="s">
        <v>18</v>
      </c>
      <c r="X3" s="4" t="s">
        <v>19</v>
      </c>
    </row>
    <row r="4" spans="1:24" s="3" customFormat="1">
      <c r="A4" s="3" t="s">
        <v>20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21</v>
      </c>
      <c r="L4" s="3" t="s">
        <v>21</v>
      </c>
      <c r="M4" s="3" t="s">
        <v>22</v>
      </c>
      <c r="N4" s="3" t="s">
        <v>22</v>
      </c>
      <c r="O4" s="3" t="s">
        <v>21</v>
      </c>
      <c r="P4" s="3" t="s">
        <v>21</v>
      </c>
      <c r="Q4" s="3" t="s">
        <v>22</v>
      </c>
      <c r="R4" s="3" t="s">
        <v>22</v>
      </c>
      <c r="S4" s="3" t="s">
        <v>17</v>
      </c>
      <c r="T4" s="3" t="s">
        <v>17</v>
      </c>
      <c r="U4" s="3" t="s">
        <v>21</v>
      </c>
      <c r="V4" s="3" t="s">
        <v>21</v>
      </c>
      <c r="W4" s="3" t="s">
        <v>22</v>
      </c>
      <c r="X4" s="3" t="s">
        <v>22</v>
      </c>
    </row>
    <row r="5" spans="1:24" s="11" customFormat="1">
      <c r="A5" s="11" t="s">
        <v>23</v>
      </c>
    </row>
    <row r="6" spans="1:24">
      <c r="A6" s="6">
        <v>2024</v>
      </c>
      <c r="B6" s="7">
        <v>781254</v>
      </c>
      <c r="C6" s="7">
        <v>257813.82</v>
      </c>
      <c r="D6" s="7">
        <v>97969.251600000003</v>
      </c>
      <c r="E6" s="9">
        <v>2536.4184584226923</v>
      </c>
      <c r="F6" s="9">
        <v>-1157.5010781179458</v>
      </c>
      <c r="G6" s="7">
        <v>6485443.0175671401</v>
      </c>
      <c r="H6" s="7">
        <v>4232794.0209787404</v>
      </c>
      <c r="I6" s="7">
        <v>-2564.150263956868</v>
      </c>
      <c r="J6" s="7">
        <v>-1235.560506199693</v>
      </c>
      <c r="K6" s="7">
        <v>0</v>
      </c>
      <c r="L6" s="7">
        <v>0</v>
      </c>
      <c r="M6" s="7">
        <v>0</v>
      </c>
      <c r="N6" s="7">
        <v>0</v>
      </c>
      <c r="O6" s="7">
        <v>-4459.7561788460062</v>
      </c>
      <c r="P6" s="7">
        <v>-2652.7136141410078</v>
      </c>
      <c r="Q6" s="7">
        <v>-4459.7561788460062</v>
      </c>
      <c r="R6" s="7">
        <v>-2652.7136141410078</v>
      </c>
      <c r="S6" s="7">
        <v>4381176.1760873068</v>
      </c>
      <c r="T6" s="7">
        <v>2859421.6729319789</v>
      </c>
      <c r="U6" s="7">
        <v>-949.61993616692371</v>
      </c>
      <c r="V6" s="7">
        <v>-619.77964760800648</v>
      </c>
      <c r="W6" s="7">
        <v>-949.61993616692371</v>
      </c>
      <c r="X6" s="7">
        <v>-619.77964760800648</v>
      </c>
    </row>
    <row r="7" spans="1:24">
      <c r="A7" s="6">
        <v>2025</v>
      </c>
      <c r="B7" s="7">
        <v>781254</v>
      </c>
      <c r="C7" s="7">
        <v>257813.82</v>
      </c>
      <c r="D7" s="7">
        <v>97969.251600000003</v>
      </c>
      <c r="E7" s="9">
        <v>3532.1259787672279</v>
      </c>
      <c r="F7" s="9">
        <v>800.0554784102826</v>
      </c>
      <c r="G7" s="7">
        <v>6943275.2473549694</v>
      </c>
      <c r="H7" s="7">
        <v>6101411.6696466245</v>
      </c>
      <c r="I7" s="7">
        <v>-2779.3587829724211</v>
      </c>
      <c r="J7" s="7">
        <v>-2145.4745146065966</v>
      </c>
      <c r="K7" s="7">
        <v>0</v>
      </c>
      <c r="L7" s="7">
        <v>0</v>
      </c>
      <c r="M7" s="7">
        <v>0</v>
      </c>
      <c r="N7" s="7">
        <v>0</v>
      </c>
      <c r="O7" s="7">
        <v>-4821.4313199777143</v>
      </c>
      <c r="P7" s="7">
        <v>-3887.3315638706927</v>
      </c>
      <c r="Q7" s="7">
        <v>-4821.4313199777143</v>
      </c>
      <c r="R7" s="7">
        <v>-3887.3315638706927</v>
      </c>
      <c r="S7" s="7">
        <v>4690460.1605981775</v>
      </c>
      <c r="T7" s="7">
        <v>4121747.6393130808</v>
      </c>
      <c r="U7" s="7">
        <v>-1016.657239809655</v>
      </c>
      <c r="V7" s="7">
        <v>-893.38880082111029</v>
      </c>
      <c r="W7" s="7">
        <v>-1016.657239809655</v>
      </c>
      <c r="X7" s="7">
        <v>-893.38880082111029</v>
      </c>
    </row>
    <row r="8" spans="1:24">
      <c r="A8" s="6">
        <v>2026</v>
      </c>
      <c r="B8" s="7">
        <v>781254</v>
      </c>
      <c r="C8" s="7">
        <v>257813.82</v>
      </c>
      <c r="D8" s="7">
        <v>97969.251600000003</v>
      </c>
      <c r="E8" s="9">
        <v>3602.1438399002609</v>
      </c>
      <c r="F8" s="9">
        <v>415.77327072372668</v>
      </c>
      <c r="G8" s="7">
        <v>6929222.4401306296</v>
      </c>
      <c r="H8" s="7">
        <v>5999924.2346706409</v>
      </c>
      <c r="I8" s="7">
        <v>-2699.8795786109795</v>
      </c>
      <c r="J8" s="7">
        <v>-1662.6952291045066</v>
      </c>
      <c r="K8" s="7">
        <v>0</v>
      </c>
      <c r="L8" s="7">
        <v>0</v>
      </c>
      <c r="M8" s="7">
        <v>0</v>
      </c>
      <c r="N8" s="7">
        <v>0</v>
      </c>
      <c r="O8" s="7">
        <v>-4802.0769394109411</v>
      </c>
      <c r="P8" s="7">
        <v>-3317.9802238464054</v>
      </c>
      <c r="Q8" s="7">
        <v>-4802.0769394109411</v>
      </c>
      <c r="R8" s="7">
        <v>-3317.9802238464054</v>
      </c>
      <c r="S8" s="7">
        <v>4680966.9272058448</v>
      </c>
      <c r="T8" s="7">
        <v>4053188.8174894042</v>
      </c>
      <c r="U8" s="7">
        <v>-1014.5995814718668</v>
      </c>
      <c r="V8" s="7">
        <v>-878.52867619082838</v>
      </c>
      <c r="W8" s="7">
        <v>-1014.5995814718668</v>
      </c>
      <c r="X8" s="7">
        <v>-878.52867619082838</v>
      </c>
    </row>
    <row r="9" spans="1:24">
      <c r="A9" s="6">
        <v>2027</v>
      </c>
      <c r="B9" s="7">
        <v>781254</v>
      </c>
      <c r="C9" s="7">
        <v>257813.82</v>
      </c>
      <c r="D9" s="7">
        <v>97969.251600000003</v>
      </c>
      <c r="E9" s="9">
        <v>3043.0019442366265</v>
      </c>
      <c r="F9" s="9">
        <v>320.2938559214615</v>
      </c>
      <c r="G9" s="7">
        <v>6199333.0016482919</v>
      </c>
      <c r="H9" s="7">
        <v>5763088.5875749495</v>
      </c>
      <c r="I9" s="7">
        <v>-2261.0484892820587</v>
      </c>
      <c r="J9" s="7">
        <v>-1679.6491468036663</v>
      </c>
      <c r="K9" s="7">
        <v>0</v>
      </c>
      <c r="L9" s="7">
        <v>0</v>
      </c>
      <c r="M9" s="7">
        <v>0</v>
      </c>
      <c r="N9" s="7">
        <v>0</v>
      </c>
      <c r="O9" s="7">
        <v>-4307.5103039441447</v>
      </c>
      <c r="P9" s="7">
        <v>-3391.110731224921</v>
      </c>
      <c r="Q9" s="7">
        <v>-4307.5103039441447</v>
      </c>
      <c r="R9" s="7">
        <v>-3391.110731224921</v>
      </c>
      <c r="S9" s="7">
        <v>4187897.4159334879</v>
      </c>
      <c r="T9" s="7">
        <v>3893196.8644503821</v>
      </c>
      <c r="U9" s="7">
        <v>-907.72676490358356</v>
      </c>
      <c r="V9" s="7">
        <v>-843.85042036962034</v>
      </c>
      <c r="W9" s="7">
        <v>-907.72676490358356</v>
      </c>
      <c r="X9" s="7">
        <v>-843.85042036962034</v>
      </c>
    </row>
    <row r="10" spans="1:24">
      <c r="A10" s="6">
        <v>2028</v>
      </c>
      <c r="B10" s="7">
        <v>781254</v>
      </c>
      <c r="C10" s="7">
        <v>257813.82</v>
      </c>
      <c r="D10" s="7">
        <v>97969.251600000003</v>
      </c>
      <c r="E10" s="9">
        <v>3366.3225218294428</v>
      </c>
      <c r="F10" s="9">
        <v>615.79935660089041</v>
      </c>
      <c r="G10" s="7">
        <v>6268277.4873062866</v>
      </c>
      <c r="H10" s="7">
        <v>5727028.9098422676</v>
      </c>
      <c r="I10" s="7">
        <v>-2249.9485623011724</v>
      </c>
      <c r="J10" s="7">
        <v>-1592.6208054148101</v>
      </c>
      <c r="K10" s="7">
        <v>0</v>
      </c>
      <c r="L10" s="7">
        <v>0</v>
      </c>
      <c r="M10" s="7">
        <v>0</v>
      </c>
      <c r="N10" s="7">
        <v>0</v>
      </c>
      <c r="O10" s="7">
        <v>-4362.0641318660773</v>
      </c>
      <c r="P10" s="7">
        <v>-3327.9679174187186</v>
      </c>
      <c r="Q10" s="7">
        <v>-4362.0641318660773</v>
      </c>
      <c r="R10" s="7">
        <v>-3327.9679174187186</v>
      </c>
      <c r="S10" s="7">
        <v>4234472.1737748887</v>
      </c>
      <c r="T10" s="7">
        <v>3868837.109754846</v>
      </c>
      <c r="U10" s="7">
        <v>-917.82184366570721</v>
      </c>
      <c r="V10" s="7">
        <v>-838.57044353936283</v>
      </c>
      <c r="W10" s="7">
        <v>-917.82184366570721</v>
      </c>
      <c r="X10" s="7">
        <v>-838.57044353936283</v>
      </c>
    </row>
    <row r="11" spans="1:24">
      <c r="A11" s="6">
        <v>2029</v>
      </c>
      <c r="B11" s="7">
        <v>781254</v>
      </c>
      <c r="C11" s="7">
        <v>257813.82</v>
      </c>
      <c r="D11" s="7">
        <v>97969.251600000003</v>
      </c>
      <c r="E11" s="9">
        <v>3997.425800221416</v>
      </c>
      <c r="F11" s="9">
        <v>927.13790853441697</v>
      </c>
      <c r="G11" s="7">
        <v>6584021.0004526209</v>
      </c>
      <c r="H11" s="7">
        <v>5715978.4576211199</v>
      </c>
      <c r="I11" s="7">
        <v>-2385.0355292905388</v>
      </c>
      <c r="J11" s="7">
        <v>-1796.9276913922718</v>
      </c>
      <c r="K11" s="7">
        <v>0</v>
      </c>
      <c r="L11" s="7">
        <v>0</v>
      </c>
      <c r="M11" s="7">
        <v>0</v>
      </c>
      <c r="N11" s="7">
        <v>0</v>
      </c>
      <c r="O11" s="7">
        <v>-4608.582258452655</v>
      </c>
      <c r="P11" s="7">
        <v>-3645.3743104707419</v>
      </c>
      <c r="Q11" s="7">
        <v>-4608.582258452655</v>
      </c>
      <c r="R11" s="7">
        <v>-3645.3743104707419</v>
      </c>
      <c r="S11" s="7">
        <v>4447769.5466457643</v>
      </c>
      <c r="T11" s="7">
        <v>3861372.0872613713</v>
      </c>
      <c r="U11" s="7">
        <v>-964.05404923546939</v>
      </c>
      <c r="V11" s="7">
        <v>-836.95239991390213</v>
      </c>
      <c r="W11" s="7">
        <v>-964.05404923546939</v>
      </c>
      <c r="X11" s="7">
        <v>-836.95239991390213</v>
      </c>
    </row>
    <row r="12" spans="1:24">
      <c r="A12" s="6">
        <v>2030</v>
      </c>
      <c r="B12" s="7">
        <v>781254</v>
      </c>
      <c r="C12" s="7">
        <v>257813.82</v>
      </c>
      <c r="D12" s="7">
        <v>97969.251600000003</v>
      </c>
      <c r="E12" s="9">
        <v>4539.4946320921717</v>
      </c>
      <c r="F12" s="9">
        <v>1691.5245305037524</v>
      </c>
      <c r="G12" s="7">
        <v>7094858.6748024886</v>
      </c>
      <c r="H12" s="7">
        <v>6300486.5568323852</v>
      </c>
      <c r="I12" s="7">
        <v>-2601.7322891642302</v>
      </c>
      <c r="J12" s="7">
        <v>-1956.4954604826423</v>
      </c>
      <c r="K12" s="7">
        <v>0</v>
      </c>
      <c r="L12" s="7">
        <v>0</v>
      </c>
      <c r="M12" s="7">
        <v>0</v>
      </c>
      <c r="N12" s="7">
        <v>0</v>
      </c>
      <c r="O12" s="7">
        <v>-4966.6185625139706</v>
      </c>
      <c r="P12" s="7">
        <v>-3910.2233553546753</v>
      </c>
      <c r="Q12" s="7">
        <v>-4966.6185625139706</v>
      </c>
      <c r="R12" s="7">
        <v>-3910.2233553546753</v>
      </c>
      <c r="S12" s="7">
        <v>8116344.5430091303</v>
      </c>
      <c r="T12" s="7">
        <v>7123287.2388700442</v>
      </c>
      <c r="U12" s="7">
        <v>-1759.217679697229</v>
      </c>
      <c r="V12" s="7">
        <v>-1543.972509025082</v>
      </c>
      <c r="W12" s="7">
        <v>-1759.217679697229</v>
      </c>
      <c r="X12" s="7">
        <v>-1543.972509025082</v>
      </c>
    </row>
    <row r="13" spans="1:24">
      <c r="A13" s="6">
        <v>2031</v>
      </c>
      <c r="B13" s="7">
        <v>781254</v>
      </c>
      <c r="C13" s="7">
        <v>257813.82</v>
      </c>
      <c r="D13" s="7">
        <v>97969.251600000003</v>
      </c>
      <c r="E13" s="9">
        <v>5042.9594055356956</v>
      </c>
      <c r="F13" s="9">
        <v>2843.6487524301765</v>
      </c>
      <c r="G13" s="7">
        <v>6848181.4182888921</v>
      </c>
      <c r="H13" s="7">
        <v>6157939.2334176283</v>
      </c>
      <c r="I13" s="7">
        <v>-2406.8767747834586</v>
      </c>
      <c r="J13" s="7">
        <v>-1811.0622432405469</v>
      </c>
      <c r="K13" s="7">
        <v>0</v>
      </c>
      <c r="L13" s="7">
        <v>0</v>
      </c>
      <c r="M13" s="7">
        <v>0</v>
      </c>
      <c r="N13" s="7">
        <v>0</v>
      </c>
      <c r="O13" s="7">
        <v>-4789.9100318733899</v>
      </c>
      <c r="P13" s="7">
        <v>-3778.7595021565849</v>
      </c>
      <c r="Q13" s="7">
        <v>-4789.9100318733899</v>
      </c>
      <c r="R13" s="7">
        <v>-3778.7595021565849</v>
      </c>
      <c r="S13" s="7">
        <v>8110393.6063832287</v>
      </c>
      <c r="T13" s="7">
        <v>7147815.4032844007</v>
      </c>
      <c r="U13" s="7">
        <v>-1757.9278141835648</v>
      </c>
      <c r="V13" s="7">
        <v>-1549.2889886618939</v>
      </c>
      <c r="W13" s="7">
        <v>-1757.9278141835648</v>
      </c>
      <c r="X13" s="7">
        <v>-1549.2889886618939</v>
      </c>
    </row>
    <row r="14" spans="1:24">
      <c r="A14" s="6">
        <v>2032</v>
      </c>
      <c r="B14" s="7">
        <v>781254</v>
      </c>
      <c r="C14" s="7">
        <v>257813.82</v>
      </c>
      <c r="D14" s="7">
        <v>97969.251600000003</v>
      </c>
      <c r="E14" s="9">
        <v>5116.2405885935914</v>
      </c>
      <c r="F14" s="9">
        <v>3437.8495934354878</v>
      </c>
      <c r="G14" s="7">
        <v>6490074.0592048727</v>
      </c>
      <c r="H14" s="7">
        <v>5788320.4175631171</v>
      </c>
      <c r="I14" s="7">
        <v>-2156.8500692105558</v>
      </c>
      <c r="J14" s="7">
        <v>-1634.5771590572442</v>
      </c>
      <c r="K14" s="7">
        <v>0</v>
      </c>
      <c r="L14" s="7">
        <v>0</v>
      </c>
      <c r="M14" s="7">
        <v>0</v>
      </c>
      <c r="N14" s="7">
        <v>0</v>
      </c>
      <c r="O14" s="7">
        <v>-4534.5687161173055</v>
      </c>
      <c r="P14" s="7">
        <v>-3601.9188989233585</v>
      </c>
      <c r="Q14" s="7">
        <v>-4534.5687161173055</v>
      </c>
      <c r="R14" s="7">
        <v>-3601.9188989233585</v>
      </c>
      <c r="S14" s="7">
        <v>8014671.7585331239</v>
      </c>
      <c r="T14" s="7">
        <v>7008439.7678436143</v>
      </c>
      <c r="U14" s="7">
        <v>-1737.1801036620545</v>
      </c>
      <c r="V14" s="7">
        <v>-1519.0793196801033</v>
      </c>
      <c r="W14" s="7">
        <v>-1737.1801036620545</v>
      </c>
      <c r="X14" s="7">
        <v>-1519.0793196801033</v>
      </c>
    </row>
    <row r="15" spans="1:24">
      <c r="A15" s="6">
        <v>2033</v>
      </c>
      <c r="B15" s="7">
        <v>781254</v>
      </c>
      <c r="C15" s="7">
        <v>257813.82</v>
      </c>
      <c r="D15" s="7">
        <v>97969.251600000003</v>
      </c>
      <c r="E15" s="9">
        <v>5146.673207437263</v>
      </c>
      <c r="F15" s="9">
        <v>3515.0234075075</v>
      </c>
      <c r="G15" s="7">
        <v>6906266.3225885313</v>
      </c>
      <c r="H15" s="7">
        <v>6231511.5966021614</v>
      </c>
      <c r="I15" s="7">
        <v>-2329.7275294550991</v>
      </c>
      <c r="J15" s="7">
        <v>-1899.9811696992028</v>
      </c>
      <c r="K15" s="7">
        <v>0</v>
      </c>
      <c r="L15" s="7">
        <v>0</v>
      </c>
      <c r="M15" s="7">
        <v>0</v>
      </c>
      <c r="N15" s="7">
        <v>0</v>
      </c>
      <c r="O15" s="7">
        <v>-4827.8077033958079</v>
      </c>
      <c r="P15" s="7">
        <v>-4000.8957299284325</v>
      </c>
      <c r="Q15" s="7">
        <v>-4827.8077033958079</v>
      </c>
      <c r="R15" s="7">
        <v>-4000.8957299284325</v>
      </c>
      <c r="S15" s="7">
        <v>8439513.3218323905</v>
      </c>
      <c r="T15" s="7">
        <v>7421006.011516151</v>
      </c>
      <c r="U15" s="7">
        <v>-1829.2645125071704</v>
      </c>
      <c r="V15" s="7">
        <v>-1608.5030529961259</v>
      </c>
      <c r="W15" s="7">
        <v>-1829.2645125071704</v>
      </c>
      <c r="X15" s="7">
        <v>-1608.5030529961259</v>
      </c>
    </row>
    <row r="16" spans="1:24">
      <c r="A16" s="6">
        <v>2034</v>
      </c>
      <c r="B16" s="7">
        <v>781254</v>
      </c>
      <c r="C16" s="7">
        <v>257813.82</v>
      </c>
      <c r="D16" s="7">
        <v>97969.251600000003</v>
      </c>
      <c r="E16" s="9">
        <v>6902.419530223181</v>
      </c>
      <c r="F16" s="9">
        <v>5726.2045940086937</v>
      </c>
      <c r="G16" s="7">
        <v>7779817.4836624144</v>
      </c>
      <c r="H16" s="7">
        <v>7431283.9337220229</v>
      </c>
      <c r="I16" s="7">
        <v>-2742.8423530598384</v>
      </c>
      <c r="J16" s="7">
        <v>-2314.343563197599</v>
      </c>
      <c r="K16" s="7">
        <v>0</v>
      </c>
      <c r="L16" s="7">
        <v>0</v>
      </c>
      <c r="M16" s="7">
        <v>0</v>
      </c>
      <c r="N16" s="7">
        <v>0</v>
      </c>
      <c r="O16" s="7">
        <v>-5442.3896563618337</v>
      </c>
      <c r="P16" s="7">
        <v>-4604.0200512232423</v>
      </c>
      <c r="Q16" s="7">
        <v>-5442.3896563618337</v>
      </c>
      <c r="R16" s="7">
        <v>-4604.0200512232423</v>
      </c>
      <c r="S16" s="7">
        <v>9192270.321823284</v>
      </c>
      <c r="T16" s="7">
        <v>8366702.0025828388</v>
      </c>
      <c r="U16" s="7">
        <v>-1992.4245922551968</v>
      </c>
      <c r="V16" s="7">
        <v>-1813.4826590598302</v>
      </c>
      <c r="W16" s="7">
        <v>-1992.4245922551968</v>
      </c>
      <c r="X16" s="7">
        <v>-1813.4826590598302</v>
      </c>
    </row>
    <row r="17" spans="1:24">
      <c r="A17" s="6">
        <v>2035</v>
      </c>
      <c r="B17" s="7">
        <v>781254</v>
      </c>
      <c r="C17" s="7">
        <v>257813.82</v>
      </c>
      <c r="D17" s="7">
        <v>97969.251600000003</v>
      </c>
      <c r="E17" s="9">
        <v>7186.4175798187925</v>
      </c>
      <c r="F17" s="9">
        <v>4854.3337586601465</v>
      </c>
      <c r="G17" s="7">
        <v>8113706.3257599641</v>
      </c>
      <c r="H17" s="7">
        <v>6338774.4698834438</v>
      </c>
      <c r="I17" s="7">
        <v>-2868.0518208454405</v>
      </c>
      <c r="J17" s="7">
        <v>-1811.8800066471235</v>
      </c>
      <c r="K17" s="7">
        <v>-105.58749045827534</v>
      </c>
      <c r="L17" s="7">
        <v>-85.378209607537826</v>
      </c>
      <c r="M17" s="7">
        <v>0</v>
      </c>
      <c r="N17" s="7">
        <v>0</v>
      </c>
      <c r="O17" s="7">
        <v>-5520.2380070177942</v>
      </c>
      <c r="P17" s="7">
        <v>-3893.3972983179474</v>
      </c>
      <c r="Q17" s="7">
        <v>-5690.9670175441179</v>
      </c>
      <c r="R17" s="7">
        <v>-4013.8116477504614</v>
      </c>
      <c r="S17" s="7">
        <v>9597816.5713571291</v>
      </c>
      <c r="T17" s="7">
        <v>7760809.4618731942</v>
      </c>
      <c r="U17" s="7">
        <v>-2017.9169395864078</v>
      </c>
      <c r="V17" s="7">
        <v>-1631.6907873351845</v>
      </c>
      <c r="W17" s="7">
        <v>-2080.3267418416576</v>
      </c>
      <c r="X17" s="7">
        <v>-1682.155450861015</v>
      </c>
    </row>
    <row r="18" spans="1:24">
      <c r="A18" s="6">
        <v>2036</v>
      </c>
      <c r="B18" s="7">
        <v>781254</v>
      </c>
      <c r="C18" s="7">
        <v>257813.82</v>
      </c>
      <c r="D18" s="7">
        <v>97969.251600000003</v>
      </c>
      <c r="E18" s="9">
        <v>7714.1709115073409</v>
      </c>
      <c r="F18" s="9">
        <v>4809.2266540097262</v>
      </c>
      <c r="G18" s="7">
        <v>8517737.6714295764</v>
      </c>
      <c r="H18" s="7">
        <v>6496752.2831984414</v>
      </c>
      <c r="I18" s="7">
        <v>-3008.5497279850911</v>
      </c>
      <c r="J18" s="7">
        <v>-1778.6989447080155</v>
      </c>
      <c r="K18" s="7">
        <v>-221.32825697001272</v>
      </c>
      <c r="L18" s="7">
        <v>-175.62821915468311</v>
      </c>
      <c r="M18" s="7">
        <v>0</v>
      </c>
      <c r="N18" s="7">
        <v>0</v>
      </c>
      <c r="O18" s="7">
        <v>-5605.6774792120959</v>
      </c>
      <c r="P18" s="7">
        <v>-3783.8349808846906</v>
      </c>
      <c r="Q18" s="7">
        <v>-5963.4866800128684</v>
      </c>
      <c r="R18" s="7">
        <v>-4025.3563626432879</v>
      </c>
      <c r="S18" s="7">
        <v>10059278.818146629</v>
      </c>
      <c r="T18" s="7">
        <v>7982230.777929469</v>
      </c>
      <c r="U18" s="7">
        <v>-2049.5277628032845</v>
      </c>
      <c r="V18" s="7">
        <v>-1626.3396098492397</v>
      </c>
      <c r="W18" s="7">
        <v>-2180.3486838332815</v>
      </c>
      <c r="X18" s="7">
        <v>-1730.1485211162126</v>
      </c>
    </row>
    <row r="19" spans="1:24">
      <c r="A19" s="6">
        <v>2037</v>
      </c>
      <c r="B19" s="7">
        <v>781254</v>
      </c>
      <c r="C19" s="7">
        <v>257813.82</v>
      </c>
      <c r="D19" s="7">
        <v>97969.251600000003</v>
      </c>
      <c r="E19" s="9">
        <v>9015.3733607561262</v>
      </c>
      <c r="F19" s="9">
        <v>5262.6975157769302</v>
      </c>
      <c r="G19" s="7">
        <v>9106324.6614254899</v>
      </c>
      <c r="H19" s="7">
        <v>6702527.6659065085</v>
      </c>
      <c r="I19" s="7">
        <v>-3269.2153043191311</v>
      </c>
      <c r="J19" s="7">
        <v>-1919.9583818056612</v>
      </c>
      <c r="K19" s="7">
        <v>-351.76416589444858</v>
      </c>
      <c r="L19" s="7">
        <v>-271.92992980747886</v>
      </c>
      <c r="M19" s="7">
        <v>0</v>
      </c>
      <c r="N19" s="7">
        <v>0</v>
      </c>
      <c r="O19" s="7">
        <v>-5822.5388017582745</v>
      </c>
      <c r="P19" s="7">
        <v>-3881.4447438907764</v>
      </c>
      <c r="Q19" s="7">
        <v>-6398.3942876464553</v>
      </c>
      <c r="R19" s="7">
        <v>-4265.3238943854685</v>
      </c>
      <c r="S19" s="7">
        <v>10658358.378055228</v>
      </c>
      <c r="T19" s="7">
        <v>8239402.7778178891</v>
      </c>
      <c r="U19" s="7">
        <v>-2102.2812523835582</v>
      </c>
      <c r="V19" s="7">
        <v>-1625.1604024037451</v>
      </c>
      <c r="W19" s="7">
        <v>-2310.1991784434704</v>
      </c>
      <c r="X19" s="7">
        <v>-1785.8905520920277</v>
      </c>
    </row>
    <row r="20" spans="1:24">
      <c r="A20" s="6">
        <v>2038</v>
      </c>
      <c r="B20" s="7">
        <v>781254</v>
      </c>
      <c r="C20" s="7">
        <v>257813.82</v>
      </c>
      <c r="D20" s="7">
        <v>97969.251600000003</v>
      </c>
      <c r="E20" s="9">
        <v>7649.7449649476439</v>
      </c>
      <c r="F20" s="9">
        <v>4646.1080675249541</v>
      </c>
      <c r="G20" s="7">
        <v>8148971.9437330253</v>
      </c>
      <c r="H20" s="7">
        <v>6251771.5514259432</v>
      </c>
      <c r="I20" s="7">
        <v>-2650.411273852033</v>
      </c>
      <c r="J20" s="7">
        <v>-1537.5143051781947</v>
      </c>
      <c r="K20" s="7">
        <v>-448.90510147464761</v>
      </c>
      <c r="L20" s="7">
        <v>-354.02461781209934</v>
      </c>
      <c r="M20" s="7">
        <v>0</v>
      </c>
      <c r="N20" s="7">
        <v>0</v>
      </c>
      <c r="O20" s="7">
        <v>-5002.2350031514816</v>
      </c>
      <c r="P20" s="7">
        <v>-3362.2152518644571</v>
      </c>
      <c r="Q20" s="7">
        <v>-5684.357958126684</v>
      </c>
      <c r="R20" s="7">
        <v>-3820.6991498459738</v>
      </c>
      <c r="S20" s="7">
        <v>10201276.692911614</v>
      </c>
      <c r="T20" s="7">
        <v>8045137.09142482</v>
      </c>
      <c r="U20" s="7">
        <v>-1945.7915164059616</v>
      </c>
      <c r="V20" s="7">
        <v>-1534.5294488183702</v>
      </c>
      <c r="W20" s="7">
        <v>-2211.1267231885927</v>
      </c>
      <c r="X20" s="7">
        <v>-1743.7834645663297</v>
      </c>
    </row>
    <row r="21" spans="1:24">
      <c r="A21" s="6">
        <v>2039</v>
      </c>
      <c r="B21" s="7">
        <v>781254</v>
      </c>
      <c r="C21" s="7">
        <v>257813.82</v>
      </c>
      <c r="D21" s="7">
        <v>97969.251600000003</v>
      </c>
      <c r="E21" s="9">
        <v>6844.781994738928</v>
      </c>
      <c r="F21" s="9">
        <v>4116.598708149847</v>
      </c>
      <c r="G21" s="7">
        <v>7639112.9884375744</v>
      </c>
      <c r="H21" s="7">
        <v>6501672.2567401677</v>
      </c>
      <c r="I21" s="7">
        <v>-2300.9638562794444</v>
      </c>
      <c r="J21" s="7">
        <v>-1520.6338599310122</v>
      </c>
      <c r="K21" s="7">
        <v>-550.88572811876077</v>
      </c>
      <c r="L21" s="7">
        <v>-457.17036676578681</v>
      </c>
      <c r="M21" s="7">
        <v>0</v>
      </c>
      <c r="N21" s="7">
        <v>0</v>
      </c>
      <c r="O21" s="7">
        <v>-4509.655403771585</v>
      </c>
      <c r="P21" s="7">
        <v>-3268.3795474850062</v>
      </c>
      <c r="Q21" s="7">
        <v>-5305.4769456136301</v>
      </c>
      <c r="R21" s="7">
        <v>-3845.1524088058895</v>
      </c>
      <c r="S21" s="7">
        <v>10015012.474137254</v>
      </c>
      <c r="T21" s="7">
        <v>8311282.5260526715</v>
      </c>
      <c r="U21" s="7">
        <v>-1845.1408607038622</v>
      </c>
      <c r="V21" s="7">
        <v>-1531.2499143936291</v>
      </c>
      <c r="W21" s="7">
        <v>-2170.7539537692501</v>
      </c>
      <c r="X21" s="7">
        <v>-1801.4704875219165</v>
      </c>
    </row>
    <row r="22" spans="1:24">
      <c r="A22" s="6">
        <v>2040</v>
      </c>
      <c r="B22" s="7">
        <v>781254</v>
      </c>
      <c r="C22" s="7">
        <v>257813.82</v>
      </c>
      <c r="D22" s="7">
        <v>97969.251600000003</v>
      </c>
      <c r="E22" s="9">
        <v>4862.3218325405023</v>
      </c>
      <c r="F22" s="9">
        <v>2370.9498067479672</v>
      </c>
      <c r="G22" s="7">
        <v>6542910.971401603</v>
      </c>
      <c r="H22" s="7">
        <v>5629151.8443374028</v>
      </c>
      <c r="I22" s="7">
        <v>-1639.0279432503003</v>
      </c>
      <c r="J22" s="7">
        <v>-1073.0098315012547</v>
      </c>
      <c r="K22" s="7">
        <v>-620.44913076069861</v>
      </c>
      <c r="L22" s="7">
        <v>-515.12217060384387</v>
      </c>
      <c r="M22" s="7">
        <v>0</v>
      </c>
      <c r="N22" s="7">
        <v>0</v>
      </c>
      <c r="O22" s="7">
        <v>-3693.8231841180586</v>
      </c>
      <c r="P22" s="7">
        <v>-2707.9790173691463</v>
      </c>
      <c r="Q22" s="7">
        <v>-4504.6624196561688</v>
      </c>
      <c r="R22" s="7">
        <v>-3302.4134358160318</v>
      </c>
      <c r="S22" s="7">
        <v>9399719.801170256</v>
      </c>
      <c r="T22" s="7">
        <v>7804030.704516002</v>
      </c>
      <c r="U22" s="7">
        <v>-1670.6591988609955</v>
      </c>
      <c r="V22" s="7">
        <v>-1387.0493972671516</v>
      </c>
      <c r="W22" s="7">
        <v>-2037.3892669036532</v>
      </c>
      <c r="X22" s="7">
        <v>-1691.5236552038432</v>
      </c>
    </row>
    <row r="23" spans="1:24">
      <c r="A23" s="6">
        <v>2041</v>
      </c>
      <c r="B23" s="7">
        <v>781254</v>
      </c>
      <c r="C23" s="7">
        <v>257813.82</v>
      </c>
      <c r="D23" s="7">
        <v>97969.251600000003</v>
      </c>
      <c r="E23" s="9">
        <v>6022.8471335015765</v>
      </c>
      <c r="F23" s="9">
        <v>3673.0812441022972</v>
      </c>
      <c r="G23" s="7">
        <v>8046966.5303116059</v>
      </c>
      <c r="H23" s="7">
        <v>7746677.7151704645</v>
      </c>
      <c r="I23" s="7">
        <v>-2436.8864765209605</v>
      </c>
      <c r="J23" s="7">
        <v>-2082.3949867975025</v>
      </c>
      <c r="K23" s="7">
        <v>-812.09970014997259</v>
      </c>
      <c r="L23" s="7">
        <v>-718.88071201962157</v>
      </c>
      <c r="M23" s="7">
        <v>0</v>
      </c>
      <c r="N23" s="7">
        <v>0</v>
      </c>
      <c r="O23" s="7">
        <v>-4426.9791363813993</v>
      </c>
      <c r="P23" s="7">
        <v>-3683.4286854762167</v>
      </c>
      <c r="Q23" s="7">
        <v>-5603.7710587106312</v>
      </c>
      <c r="R23" s="7">
        <v>-4662.5679562990081</v>
      </c>
      <c r="S23" s="7">
        <v>10545599.843130825</v>
      </c>
      <c r="T23" s="7">
        <v>9335095.5830963701</v>
      </c>
      <c r="U23" s="7">
        <v>-1805.7494251388989</v>
      </c>
      <c r="V23" s="7">
        <v>-1598.4717544325492</v>
      </c>
      <c r="W23" s="7">
        <v>-2285.7587659986061</v>
      </c>
      <c r="X23" s="7">
        <v>-2023.3819676361381</v>
      </c>
    </row>
    <row r="24" spans="1:24">
      <c r="A24" s="6">
        <v>2042</v>
      </c>
      <c r="B24" s="7">
        <v>781254</v>
      </c>
      <c r="C24" s="7">
        <v>257813.82</v>
      </c>
      <c r="D24" s="7">
        <v>97969.251600000003</v>
      </c>
      <c r="E24" s="9">
        <v>5169.6364750058692</v>
      </c>
      <c r="F24" s="9">
        <v>2475.497293606611</v>
      </c>
      <c r="G24" s="7">
        <v>7177022.9856704567</v>
      </c>
      <c r="H24" s="7">
        <v>6700543.7176001249</v>
      </c>
      <c r="I24" s="7">
        <v>-1887.6186862655877</v>
      </c>
      <c r="J24" s="7">
        <v>-1468.2422101651678</v>
      </c>
      <c r="K24" s="7">
        <v>-888.51151550959196</v>
      </c>
      <c r="L24" s="7">
        <v>-769.34200516892804</v>
      </c>
      <c r="M24" s="7">
        <v>0</v>
      </c>
      <c r="N24" s="7">
        <v>0</v>
      </c>
      <c r="O24" s="7">
        <v>-3766.0801179825094</v>
      </c>
      <c r="P24" s="7">
        <v>-2977.7744054554255</v>
      </c>
      <c r="Q24" s="7">
        <v>-4955.3685762927753</v>
      </c>
      <c r="R24" s="7">
        <v>-3918.1242177045069</v>
      </c>
      <c r="S24" s="7">
        <v>10095621.307016347</v>
      </c>
      <c r="T24" s="7">
        <v>8741569.9224916343</v>
      </c>
      <c r="U24" s="7">
        <v>-1663.0516979048027</v>
      </c>
      <c r="V24" s="7">
        <v>-1439.9988133320469</v>
      </c>
      <c r="W24" s="7">
        <v>-2188.2259182957932</v>
      </c>
      <c r="X24" s="7">
        <v>-1894.7352807000618</v>
      </c>
    </row>
    <row r="25" spans="1:24">
      <c r="A25" s="6">
        <v>2043</v>
      </c>
      <c r="B25" s="7">
        <v>781254</v>
      </c>
      <c r="C25" s="7">
        <v>257813.82</v>
      </c>
      <c r="D25" s="7">
        <v>97969.251600000003</v>
      </c>
      <c r="E25" s="9">
        <v>4225.7731339901475</v>
      </c>
      <c r="F25" s="9">
        <v>1833.9077601151728</v>
      </c>
      <c r="G25" s="7">
        <v>6345520.4415499484</v>
      </c>
      <c r="H25" s="7">
        <v>6260697.6316430476</v>
      </c>
      <c r="I25" s="7">
        <v>-1377.3422423643296</v>
      </c>
      <c r="J25" s="7">
        <v>-1164.4805902051548</v>
      </c>
      <c r="K25" s="7">
        <v>-954.18487752694921</v>
      </c>
      <c r="L25" s="7">
        <v>-844.34707063639735</v>
      </c>
      <c r="M25" s="7">
        <v>0</v>
      </c>
      <c r="N25" s="7">
        <v>0</v>
      </c>
      <c r="O25" s="7">
        <v>-3169.1060268452993</v>
      </c>
      <c r="P25" s="7">
        <v>-2600.9818493849557</v>
      </c>
      <c r="Q25" s="7">
        <v>-4341.2411326647934</v>
      </c>
      <c r="R25" s="7">
        <v>-3562.988834773912</v>
      </c>
      <c r="S25" s="7">
        <v>9637180.5977290403</v>
      </c>
      <c r="T25" s="7">
        <v>8527828.72432038</v>
      </c>
      <c r="U25" s="7">
        <v>-1524.8669930271719</v>
      </c>
      <c r="V25" s="7">
        <v>-1349.3370194774031</v>
      </c>
      <c r="W25" s="7">
        <v>-2088.8588945577694</v>
      </c>
      <c r="X25" s="7">
        <v>-1848.4068759964423</v>
      </c>
    </row>
    <row r="26" spans="1:24">
      <c r="A26" s="6">
        <v>2044</v>
      </c>
      <c r="B26" s="7">
        <v>781254</v>
      </c>
      <c r="C26" s="7">
        <v>257813.82</v>
      </c>
      <c r="D26" s="7">
        <v>97969.251600000003</v>
      </c>
      <c r="E26" s="9">
        <v>3434.3063131982008</v>
      </c>
      <c r="F26" s="9">
        <v>1876.9310133421493</v>
      </c>
      <c r="G26" s="7">
        <v>5954286.9123754129</v>
      </c>
      <c r="H26" s="7">
        <v>5417558.4743943252</v>
      </c>
      <c r="I26" s="7">
        <v>-1123.9986039268076</v>
      </c>
      <c r="J26" s="7">
        <v>-1071.0990708616166</v>
      </c>
      <c r="K26" s="7">
        <v>-1039.7660533809421</v>
      </c>
      <c r="L26" s="7">
        <v>-883.26036067419852</v>
      </c>
      <c r="M26" s="7">
        <v>0</v>
      </c>
      <c r="N26" s="7">
        <v>0</v>
      </c>
      <c r="O26" s="7">
        <v>-2834.5223480771911</v>
      </c>
      <c r="P26" s="7">
        <v>-2432.6443960360461</v>
      </c>
      <c r="Q26" s="7">
        <v>-4049.3176401102733</v>
      </c>
      <c r="R26" s="7">
        <v>-3475.2062800514946</v>
      </c>
      <c r="S26" s="7">
        <v>9451388.4307324886</v>
      </c>
      <c r="T26" s="7">
        <v>8028764.4774090638</v>
      </c>
      <c r="U26" s="7">
        <v>-1434.0119096528867</v>
      </c>
      <c r="V26" s="7">
        <v>-1218.1642903348902</v>
      </c>
      <c r="W26" s="7">
        <v>-2048.588442361267</v>
      </c>
      <c r="X26" s="7">
        <v>-1740.2347004784149</v>
      </c>
    </row>
    <row r="27" spans="1:24">
      <c r="A27" s="6">
        <v>2045</v>
      </c>
      <c r="B27" s="7">
        <v>781254</v>
      </c>
      <c r="C27" s="7">
        <v>257813.82</v>
      </c>
      <c r="D27" s="7">
        <v>97969.251600000003</v>
      </c>
      <c r="E27" s="9">
        <v>3070.6551176166663</v>
      </c>
      <c r="F27" s="9">
        <v>1691.8211578093403</v>
      </c>
      <c r="G27" s="7">
        <v>5813695.0830065189</v>
      </c>
      <c r="H27" s="7">
        <v>4979161.1897579459</v>
      </c>
      <c r="I27" s="7">
        <v>-1022.3757469408293</v>
      </c>
      <c r="J27" s="7">
        <v>-860.89529112930086</v>
      </c>
      <c r="K27" s="7">
        <v>-1140.3573591950758</v>
      </c>
      <c r="L27" s="7">
        <v>-943.08491472914613</v>
      </c>
      <c r="M27" s="7">
        <v>0</v>
      </c>
      <c r="N27" s="7">
        <v>0</v>
      </c>
      <c r="O27" s="7">
        <v>-2645.9294560129083</v>
      </c>
      <c r="P27" s="7">
        <v>-2164.6663901503216</v>
      </c>
      <c r="Q27" s="7">
        <v>-3949.1484418103114</v>
      </c>
      <c r="R27" s="7">
        <v>-3230.8453584333161</v>
      </c>
      <c r="S27" s="7">
        <v>9423413.7980549261</v>
      </c>
      <c r="T27" s="7">
        <v>7793240.7122527407</v>
      </c>
      <c r="U27" s="7">
        <v>-1368.4917102880313</v>
      </c>
      <c r="V27" s="7">
        <v>-1131.7538993351234</v>
      </c>
      <c r="W27" s="7">
        <v>-2042.5249407284052</v>
      </c>
      <c r="X27" s="7">
        <v>-1689.1849243807817</v>
      </c>
    </row>
    <row r="28" spans="1:24">
      <c r="A28" s="6">
        <v>2046</v>
      </c>
      <c r="B28" s="7">
        <v>781254</v>
      </c>
      <c r="C28" s="7">
        <v>257813.82</v>
      </c>
      <c r="D28" s="7">
        <v>97969.251600000003</v>
      </c>
      <c r="E28" s="9">
        <v>3184.193573286454</v>
      </c>
      <c r="F28" s="9">
        <v>1582.7483572644874</v>
      </c>
      <c r="G28" s="7">
        <v>5890238.7832656326</v>
      </c>
      <c r="H28" s="7">
        <v>5147288.2230427256</v>
      </c>
      <c r="I28" s="7">
        <v>-1038.3069539383036</v>
      </c>
      <c r="J28" s="7">
        <v>-838.49736820623934</v>
      </c>
      <c r="K28" s="7">
        <v>-1259.3345994920542</v>
      </c>
      <c r="L28" s="7">
        <v>-1050.8267123096796</v>
      </c>
      <c r="M28" s="7">
        <v>0</v>
      </c>
      <c r="N28" s="7">
        <v>0</v>
      </c>
      <c r="O28" s="7">
        <v>-2560.3129482191298</v>
      </c>
      <c r="P28" s="7">
        <v>-2065.3139377745392</v>
      </c>
      <c r="Q28" s="7">
        <v>-4000.4889815923902</v>
      </c>
      <c r="R28" s="7">
        <v>-3227.0530277727175</v>
      </c>
      <c r="S28" s="7">
        <v>9539373.8054166511</v>
      </c>
      <c r="T28" s="7">
        <v>7959940.7635447141</v>
      </c>
      <c r="U28" s="7">
        <v>-1323.3019342873979</v>
      </c>
      <c r="V28" s="7">
        <v>-1104.2029827189228</v>
      </c>
      <c r="W28" s="7">
        <v>-2067.6592723240587</v>
      </c>
      <c r="X28" s="7">
        <v>-1725.317160498317</v>
      </c>
    </row>
    <row r="29" spans="1:24">
      <c r="A29" s="6">
        <v>2047</v>
      </c>
      <c r="B29" s="7">
        <v>781254</v>
      </c>
      <c r="C29" s="7">
        <v>257813.82</v>
      </c>
      <c r="D29" s="7">
        <v>97969.251600000003</v>
      </c>
      <c r="E29" s="9">
        <v>3208.4534312016222</v>
      </c>
      <c r="F29" s="9">
        <v>1573.3373626683042</v>
      </c>
      <c r="G29" s="7">
        <v>6187785.0327439737</v>
      </c>
      <c r="H29" s="7">
        <v>6256281.770553695</v>
      </c>
      <c r="I29" s="7">
        <v>-1182.6391944422232</v>
      </c>
      <c r="J29" s="7">
        <v>-1259.0333434829131</v>
      </c>
      <c r="K29" s="7">
        <v>-1402.9652687284656</v>
      </c>
      <c r="L29" s="7">
        <v>-1254.9838959170231</v>
      </c>
      <c r="M29" s="7">
        <v>0</v>
      </c>
      <c r="N29" s="7">
        <v>0</v>
      </c>
      <c r="O29" s="7">
        <v>-2574.9637731486841</v>
      </c>
      <c r="P29" s="7">
        <v>-2321.1929702695052</v>
      </c>
      <c r="Q29" s="7">
        <v>-4221.2520871289908</v>
      </c>
      <c r="R29" s="7">
        <v>-3805.2343774909923</v>
      </c>
      <c r="S29" s="7">
        <v>9809876.6222556308</v>
      </c>
      <c r="T29" s="7">
        <v>8775154.6358817648</v>
      </c>
      <c r="U29" s="7">
        <v>-1297.0373623030837</v>
      </c>
      <c r="V29" s="7">
        <v>-1160.2290080696971</v>
      </c>
      <c r="W29" s="7">
        <v>-2126.2907578739082</v>
      </c>
      <c r="X29" s="7">
        <v>-1902.0147673273725</v>
      </c>
    </row>
    <row r="30" spans="1:24">
      <c r="A30" s="6">
        <v>2048</v>
      </c>
      <c r="B30" s="7">
        <v>781254</v>
      </c>
      <c r="C30" s="7">
        <v>257813.82</v>
      </c>
      <c r="D30" s="7">
        <v>97969.251600000003</v>
      </c>
      <c r="E30" s="9">
        <v>3776.4741208245632</v>
      </c>
      <c r="F30" s="9">
        <v>2046.1420345952399</v>
      </c>
      <c r="G30" s="7">
        <v>6632096.504962761</v>
      </c>
      <c r="H30" s="7">
        <v>6229847.8457624596</v>
      </c>
      <c r="I30" s="7">
        <v>-1391.5531625055094</v>
      </c>
      <c r="J30" s="7">
        <v>-1255.951661989282</v>
      </c>
      <c r="K30" s="7">
        <v>-1569.587526117961</v>
      </c>
      <c r="L30" s="7">
        <v>-1361.022452028905</v>
      </c>
      <c r="M30" s="7">
        <v>0</v>
      </c>
      <c r="N30" s="7">
        <v>0</v>
      </c>
      <c r="O30" s="7">
        <v>-2628.2405807809441</v>
      </c>
      <c r="P30" s="7">
        <v>-2226.7069580725774</v>
      </c>
      <c r="Q30" s="7">
        <v>-4531.4492772085241</v>
      </c>
      <c r="R30" s="7">
        <v>-3839.1499277113398</v>
      </c>
      <c r="S30" s="7">
        <v>10191015.934467729</v>
      </c>
      <c r="T30" s="7">
        <v>8836844.8812153134</v>
      </c>
      <c r="U30" s="7">
        <v>-1281.1635682016108</v>
      </c>
      <c r="V30" s="7">
        <v>-1110.9239542419834</v>
      </c>
      <c r="W30" s="7">
        <v>-2208.9027037958804</v>
      </c>
      <c r="X30" s="7">
        <v>-1915.3861280034191</v>
      </c>
    </row>
    <row r="31" spans="1:24">
      <c r="A31" s="6">
        <v>2049</v>
      </c>
      <c r="B31" s="7">
        <v>781254</v>
      </c>
      <c r="C31" s="7">
        <v>257813.82</v>
      </c>
      <c r="D31" s="7">
        <v>97969.251600000003</v>
      </c>
      <c r="E31" s="9">
        <v>3633.8200281849599</v>
      </c>
      <c r="F31" s="9">
        <v>1406.1180048587325</v>
      </c>
      <c r="G31" s="7">
        <v>6477291.3213135526</v>
      </c>
      <c r="H31" s="7">
        <v>6057040.1576478891</v>
      </c>
      <c r="I31" s="7">
        <v>-1285.917118731883</v>
      </c>
      <c r="J31" s="7">
        <v>-915.80685807739849</v>
      </c>
      <c r="K31" s="7">
        <v>-1678.3568840707285</v>
      </c>
      <c r="L31" s="7">
        <v>-1450.2717291189149</v>
      </c>
      <c r="M31" s="7">
        <v>0</v>
      </c>
      <c r="N31" s="7">
        <v>0</v>
      </c>
      <c r="O31" s="7">
        <v>-2438.8736448941881</v>
      </c>
      <c r="P31" s="7">
        <v>-1886.2791445589344</v>
      </c>
      <c r="Q31" s="7">
        <v>-4434.3157179894324</v>
      </c>
      <c r="R31" s="7">
        <v>-3429.5984446526077</v>
      </c>
      <c r="S31" s="7">
        <v>10170751.253878202</v>
      </c>
      <c r="T31" s="7">
        <v>8788567.64457893</v>
      </c>
      <c r="U31" s="7">
        <v>-1212.4806838529553</v>
      </c>
      <c r="V31" s="7">
        <v>-1047.7071203293658</v>
      </c>
      <c r="W31" s="7">
        <v>-2204.5103342781008</v>
      </c>
      <c r="X31" s="7">
        <v>-1904.9220369624832</v>
      </c>
    </row>
    <row r="32" spans="1:24">
      <c r="A32" s="6">
        <v>2050</v>
      </c>
      <c r="B32" s="7">
        <v>781254</v>
      </c>
      <c r="C32" s="7">
        <v>257813.82</v>
      </c>
      <c r="D32" s="7">
        <v>97969.251600000003</v>
      </c>
      <c r="E32" s="9">
        <v>3756.416435352382</v>
      </c>
      <c r="F32" s="9">
        <v>2056.6316419915324</v>
      </c>
      <c r="G32" s="7">
        <v>6493900.8476006649</v>
      </c>
      <c r="H32" s="7">
        <v>5725657.8085489869</v>
      </c>
      <c r="I32" s="7">
        <v>-1253.4217031402716</v>
      </c>
      <c r="J32" s="7">
        <v>-1014.2040510130954</v>
      </c>
      <c r="K32" s="7">
        <v>-1806.2749062481917</v>
      </c>
      <c r="L32" s="7">
        <v>-1518.2346019669574</v>
      </c>
      <c r="M32" s="7">
        <v>0</v>
      </c>
      <c r="N32" s="7">
        <v>0</v>
      </c>
      <c r="O32" s="7">
        <v>-2303.6679578247067</v>
      </c>
      <c r="P32" s="7">
        <v>-1864.951655753973</v>
      </c>
      <c r="Q32" s="7">
        <v>-4430.1306881244354</v>
      </c>
      <c r="R32" s="7">
        <v>-3586.4454918345632</v>
      </c>
      <c r="S32" s="7">
        <v>10261807.028685233</v>
      </c>
      <c r="T32" s="7">
        <v>8625392.765943069</v>
      </c>
      <c r="U32" s="7">
        <v>-1156.6082702031124</v>
      </c>
      <c r="V32" s="7">
        <v>-972.16801864944318</v>
      </c>
      <c r="W32" s="7">
        <v>-2224.246673467524</v>
      </c>
      <c r="X32" s="7">
        <v>-1869.55388201816</v>
      </c>
    </row>
    <row r="33" spans="1:24">
      <c r="A33" s="6">
        <v>2051</v>
      </c>
      <c r="B33" s="7">
        <v>781254</v>
      </c>
      <c r="C33" s="7">
        <v>257813.82</v>
      </c>
      <c r="D33" s="7">
        <v>97969.251600000003</v>
      </c>
      <c r="E33" s="9">
        <v>4568.2637451519622</v>
      </c>
      <c r="F33" s="9">
        <v>1513.1377928609456</v>
      </c>
      <c r="G33" s="7">
        <v>7720276.894620019</v>
      </c>
      <c r="H33" s="7">
        <v>5792459.252927267</v>
      </c>
      <c r="I33" s="7">
        <v>-1803.4779325247064</v>
      </c>
      <c r="J33" s="7">
        <v>-1279.9931515951812</v>
      </c>
      <c r="K33" s="7">
        <v>-2092.1727903580195</v>
      </c>
      <c r="L33" s="7">
        <v>-1635.11806247349</v>
      </c>
      <c r="M33" s="7">
        <v>0</v>
      </c>
      <c r="N33" s="7">
        <v>0</v>
      </c>
      <c r="O33" s="7">
        <v>-2543.7142179718162</v>
      </c>
      <c r="P33" s="7">
        <v>-1943.5953098431935</v>
      </c>
      <c r="Q33" s="7">
        <v>-5191.2535060649316</v>
      </c>
      <c r="R33" s="7">
        <v>-3966.5210404963132</v>
      </c>
      <c r="S33" s="7">
        <v>11186870.377679681</v>
      </c>
      <c r="T33" s="7">
        <v>8742993.8394158725</v>
      </c>
      <c r="U33" s="7">
        <v>-1188.1295356374148</v>
      </c>
      <c r="V33" s="7">
        <v>-928.57151819976127</v>
      </c>
      <c r="W33" s="7">
        <v>-2424.7541543620714</v>
      </c>
      <c r="X33" s="7">
        <v>-1895.0439146933902</v>
      </c>
    </row>
    <row r="34" spans="1:24">
      <c r="A34" s="6">
        <v>2052</v>
      </c>
      <c r="B34" s="7">
        <v>781254</v>
      </c>
      <c r="C34" s="7">
        <v>257813.82</v>
      </c>
      <c r="D34" s="7">
        <v>97969.251600000003</v>
      </c>
      <c r="E34" s="9">
        <v>2430.2173380162753</v>
      </c>
      <c r="F34" s="9">
        <v>136.20449216077219</v>
      </c>
      <c r="G34" s="7">
        <v>5586687.5802017255</v>
      </c>
      <c r="H34" s="7">
        <v>4292566.3186519789</v>
      </c>
      <c r="I34" s="7">
        <v>-673.20235175093501</v>
      </c>
      <c r="J34" s="7">
        <v>-474.8969231898613</v>
      </c>
      <c r="K34" s="7">
        <v>-1945.201882285395</v>
      </c>
      <c r="L34" s="7">
        <v>-1541.5295011711667</v>
      </c>
      <c r="M34" s="7">
        <v>0</v>
      </c>
      <c r="N34" s="7">
        <v>0</v>
      </c>
      <c r="O34" s="7">
        <v>-1729.0965955710642</v>
      </c>
      <c r="P34" s="7">
        <v>-1355.1907056112718</v>
      </c>
      <c r="Q34" s="7">
        <v>-3758.905642545792</v>
      </c>
      <c r="R34" s="7">
        <v>-2946.0667513288522</v>
      </c>
      <c r="S34" s="7">
        <v>9823181.1675811037</v>
      </c>
      <c r="T34" s="7">
        <v>7784653.9750333214</v>
      </c>
      <c r="U34" s="7">
        <v>-979.42027831367386</v>
      </c>
      <c r="V34" s="7">
        <v>-776.16892458069719</v>
      </c>
      <c r="W34" s="7">
        <v>-2129.1745180732041</v>
      </c>
      <c r="X34" s="7">
        <v>-1687.3237490884724</v>
      </c>
    </row>
    <row r="35" spans="1:24">
      <c r="A35" s="6">
        <v>2053</v>
      </c>
      <c r="B35" s="7">
        <v>781254</v>
      </c>
      <c r="C35" s="7">
        <v>257813.82</v>
      </c>
      <c r="D35" s="7">
        <v>97969.251600000003</v>
      </c>
      <c r="E35" s="9">
        <v>2194.5451966802489</v>
      </c>
      <c r="F35" s="9">
        <v>110.35863596411735</v>
      </c>
      <c r="G35" s="7">
        <v>5445291.6068903795</v>
      </c>
      <c r="H35" s="7">
        <v>4196225.3586702384</v>
      </c>
      <c r="I35" s="7">
        <v>-630.89684928261158</v>
      </c>
      <c r="J35" s="7">
        <v>-509.51617197614422</v>
      </c>
      <c r="K35" s="7">
        <v>-2041.6458045220434</v>
      </c>
      <c r="L35" s="7">
        <v>-1619.8586349649026</v>
      </c>
      <c r="M35" s="7">
        <v>0</v>
      </c>
      <c r="N35" s="7">
        <v>0</v>
      </c>
      <c r="O35" s="7">
        <v>-1600.8623724843351</v>
      </c>
      <c r="P35" s="7">
        <v>-1292.3316961220885</v>
      </c>
      <c r="Q35" s="7">
        <v>-3722.9357499635694</v>
      </c>
      <c r="R35" s="7">
        <v>-3005.4225491211355</v>
      </c>
      <c r="S35" s="7">
        <v>9767575.5110935587</v>
      </c>
      <c r="T35" s="7">
        <v>7749675.0412203018</v>
      </c>
      <c r="U35" s="7">
        <v>-910.36245657269751</v>
      </c>
      <c r="V35" s="7">
        <v>-722.28908802933529</v>
      </c>
      <c r="W35" s="7">
        <v>-2117.1219920295284</v>
      </c>
      <c r="X35" s="7">
        <v>-1679.7420651845005</v>
      </c>
    </row>
    <row r="36" spans="1:24">
      <c r="A36" s="6">
        <v>2054</v>
      </c>
      <c r="B36" s="7">
        <v>781254</v>
      </c>
      <c r="C36" s="7">
        <v>257813.82</v>
      </c>
      <c r="D36" s="7">
        <v>97969.251600000003</v>
      </c>
      <c r="E36" s="9">
        <v>2243.5998099648682</v>
      </c>
      <c r="F36" s="9">
        <v>-53.967812637692816</v>
      </c>
      <c r="G36" s="7">
        <v>5679522.3709378466</v>
      </c>
      <c r="H36" s="7">
        <v>4064718.4905743217</v>
      </c>
      <c r="I36" s="7">
        <v>-756.63362986966035</v>
      </c>
      <c r="J36" s="7">
        <v>-453.77771556468582</v>
      </c>
      <c r="K36" s="7">
        <v>-2193.3055873770518</v>
      </c>
      <c r="L36" s="7">
        <v>-1692.0515226674177</v>
      </c>
      <c r="M36" s="7">
        <v>0</v>
      </c>
      <c r="N36" s="7">
        <v>0</v>
      </c>
      <c r="O36" s="7">
        <v>-1562.6952966685678</v>
      </c>
      <c r="P36" s="7">
        <v>-1178.8042232717532</v>
      </c>
      <c r="Q36" s="7">
        <v>-3906.7382416714195</v>
      </c>
      <c r="R36" s="7">
        <v>-2947.0105581793832</v>
      </c>
      <c r="S36" s="7">
        <v>9968484.2499861643</v>
      </c>
      <c r="T36" s="7">
        <v>7690305.013104233</v>
      </c>
      <c r="U36" s="7">
        <v>-864.26758447380053</v>
      </c>
      <c r="V36" s="7">
        <v>-666.74944463613701</v>
      </c>
      <c r="W36" s="7">
        <v>-2160.6689611845013</v>
      </c>
      <c r="X36" s="7">
        <v>-1666.8736115903423</v>
      </c>
    </row>
    <row r="37" spans="1:24">
      <c r="A37" s="6">
        <v>2055</v>
      </c>
      <c r="B37" s="7">
        <v>781254</v>
      </c>
      <c r="C37" s="7">
        <v>257813.82</v>
      </c>
      <c r="D37" s="7">
        <v>97969.251600000003</v>
      </c>
      <c r="E37" s="9">
        <v>1865.3003441969249</v>
      </c>
      <c r="F37" s="9">
        <v>-36.991319489088824</v>
      </c>
      <c r="G37" s="7">
        <v>5427262.0761521999</v>
      </c>
      <c r="H37" s="7">
        <v>4291787.4836985236</v>
      </c>
      <c r="I37" s="7">
        <v>-637.29300682027645</v>
      </c>
      <c r="J37" s="7">
        <v>-467.26590518815226</v>
      </c>
      <c r="K37" s="7">
        <v>-2273.5220921030073</v>
      </c>
      <c r="L37" s="7">
        <v>-1818.6034189027687</v>
      </c>
      <c r="M37" s="7">
        <v>0</v>
      </c>
      <c r="N37" s="7">
        <v>0</v>
      </c>
      <c r="O37" s="7">
        <v>-1395.6646623261504</v>
      </c>
      <c r="P37" s="7">
        <v>-1101.8531282012743</v>
      </c>
      <c r="Q37" s="7">
        <v>-3772.0666549355419</v>
      </c>
      <c r="R37" s="7">
        <v>-2977.9814275710119</v>
      </c>
      <c r="S37" s="7">
        <v>9841014.2717732359</v>
      </c>
      <c r="T37" s="7">
        <v>7871884.0086410251</v>
      </c>
      <c r="U37" s="7">
        <v>-789.22474206053414</v>
      </c>
      <c r="V37" s="7">
        <v>-631.30541778298868</v>
      </c>
      <c r="W37" s="7">
        <v>-2133.0398434068493</v>
      </c>
      <c r="X37" s="7">
        <v>-1706.2308588729422</v>
      </c>
    </row>
    <row r="38" spans="1:24">
      <c r="A38" s="6">
        <v>2056</v>
      </c>
      <c r="B38" s="7">
        <v>781254</v>
      </c>
      <c r="C38" s="7">
        <v>257813.82</v>
      </c>
      <c r="D38" s="7">
        <v>97969.251600000003</v>
      </c>
      <c r="E38" s="9">
        <v>1520.0040888912854</v>
      </c>
      <c r="F38" s="9">
        <v>-509.10713777102058</v>
      </c>
      <c r="G38" s="7">
        <v>5337117.268222522</v>
      </c>
      <c r="H38" s="7">
        <v>3938047.1258025574</v>
      </c>
      <c r="I38" s="7">
        <v>-530.94703831812035</v>
      </c>
      <c r="J38" s="7">
        <v>-234.01894590971403</v>
      </c>
      <c r="K38" s="7">
        <v>-2375.6857771807095</v>
      </c>
      <c r="L38" s="7">
        <v>-1852.4714031826709</v>
      </c>
      <c r="M38" s="7">
        <v>0</v>
      </c>
      <c r="N38" s="7">
        <v>0</v>
      </c>
      <c r="O38" s="7">
        <v>-1241.2834369971933</v>
      </c>
      <c r="P38" s="7">
        <v>-912.83655513998974</v>
      </c>
      <c r="Q38" s="7">
        <v>-3650.8336382270395</v>
      </c>
      <c r="R38" s="7">
        <v>-2684.8133974705584</v>
      </c>
      <c r="S38" s="7">
        <v>9815813.4167387262</v>
      </c>
      <c r="T38" s="7">
        <v>7654006.1939774472</v>
      </c>
      <c r="U38" s="7">
        <v>-723.37636974656039</v>
      </c>
      <c r="V38" s="7">
        <v>-564.06198646516793</v>
      </c>
      <c r="W38" s="7">
        <v>-2127.5775580781192</v>
      </c>
      <c r="X38" s="7">
        <v>-1659.0058425446118</v>
      </c>
    </row>
    <row r="39" spans="1:24">
      <c r="A39" s="6">
        <v>2057</v>
      </c>
      <c r="B39" s="7">
        <v>781254</v>
      </c>
      <c r="C39" s="7">
        <v>257813.82</v>
      </c>
      <c r="D39" s="7">
        <v>97969.251600000003</v>
      </c>
      <c r="E39" s="9">
        <v>1299.2893951030362</v>
      </c>
      <c r="F39" s="9">
        <v>-571.84780945204523</v>
      </c>
      <c r="G39" s="7">
        <v>5278692.9423342142</v>
      </c>
      <c r="H39" s="7">
        <v>3928893.7737725796</v>
      </c>
      <c r="I39" s="7">
        <v>-509.30016649170483</v>
      </c>
      <c r="J39" s="7">
        <v>-234.71711447055876</v>
      </c>
      <c r="K39" s="7">
        <v>-2481.6789706398358</v>
      </c>
      <c r="L39" s="7">
        <v>-1938.5634890088177</v>
      </c>
      <c r="M39" s="7">
        <v>0</v>
      </c>
      <c r="N39" s="7">
        <v>0</v>
      </c>
      <c r="O39" s="7">
        <v>-1127.7036751140784</v>
      </c>
      <c r="P39" s="7">
        <v>-834.59051553145321</v>
      </c>
      <c r="Q39" s="7">
        <v>-3637.7537906905745</v>
      </c>
      <c r="R39" s="7">
        <v>-2692.2274694563002</v>
      </c>
      <c r="S39" s="7">
        <v>9807938.6874238756</v>
      </c>
      <c r="T39" s="7">
        <v>7661471.1519173291</v>
      </c>
      <c r="U39" s="7">
        <v>-659.01992025472873</v>
      </c>
      <c r="V39" s="7">
        <v>-514.79340037520524</v>
      </c>
      <c r="W39" s="7">
        <v>-2125.8707104991249</v>
      </c>
      <c r="X39" s="7">
        <v>-1660.6238721780812</v>
      </c>
    </row>
    <row r="40" spans="1:24">
      <c r="A40" s="6">
        <v>2058</v>
      </c>
      <c r="B40" s="7">
        <v>781254</v>
      </c>
      <c r="C40" s="7">
        <v>257813.82</v>
      </c>
      <c r="D40" s="7">
        <v>97969.251600000003</v>
      </c>
      <c r="E40" s="9">
        <v>2766.3406567714574</v>
      </c>
      <c r="F40" s="9">
        <v>883.97127650939649</v>
      </c>
      <c r="G40" s="7">
        <v>6573757.9689299027</v>
      </c>
      <c r="H40" s="7">
        <v>5273027.0680183265</v>
      </c>
      <c r="I40" s="7">
        <v>-1257.2085935745536</v>
      </c>
      <c r="J40" s="7">
        <v>-966.48887261875439</v>
      </c>
      <c r="K40" s="7">
        <v>-2835.1574992914366</v>
      </c>
      <c r="L40" s="7">
        <v>-2272.4788783318882</v>
      </c>
      <c r="M40" s="7">
        <v>0</v>
      </c>
      <c r="N40" s="7">
        <v>0</v>
      </c>
      <c r="O40" s="7">
        <v>-1298.1853065043695</v>
      </c>
      <c r="P40" s="7">
        <v>-1025.1874019819284</v>
      </c>
      <c r="Q40" s="7">
        <v>-4636.3760946584616</v>
      </c>
      <c r="R40" s="7">
        <v>-3661.3835785068864</v>
      </c>
      <c r="S40" s="7">
        <v>10738062.463256396</v>
      </c>
      <c r="T40" s="7">
        <v>8606936.351175271</v>
      </c>
      <c r="U40" s="7">
        <v>-651.69301089503085</v>
      </c>
      <c r="V40" s="7">
        <v>-522.35496715282727</v>
      </c>
      <c r="W40" s="7">
        <v>-2327.475038910824</v>
      </c>
      <c r="X40" s="7">
        <v>-1865.5534541172399</v>
      </c>
    </row>
    <row r="41" spans="1:24">
      <c r="A41" s="6">
        <v>2059</v>
      </c>
      <c r="B41" s="7">
        <v>781254</v>
      </c>
      <c r="C41" s="7">
        <v>257813.82</v>
      </c>
      <c r="D41" s="7">
        <v>97969.251600000003</v>
      </c>
      <c r="E41" s="9">
        <v>3099.3900897303392</v>
      </c>
      <c r="F41" s="9">
        <v>934.14934438767921</v>
      </c>
      <c r="G41" s="7">
        <v>6776826.2882732097</v>
      </c>
      <c r="H41" s="7">
        <v>5213383.471113788</v>
      </c>
      <c r="I41" s="7">
        <v>-1341.8402500150912</v>
      </c>
      <c r="J41" s="7">
        <v>-921.75805589502716</v>
      </c>
      <c r="K41" s="7">
        <v>-3013.6135884662435</v>
      </c>
      <c r="L41" s="7">
        <v>-2372.4734316809186</v>
      </c>
      <c r="M41" s="7">
        <v>0</v>
      </c>
      <c r="N41" s="7">
        <v>0</v>
      </c>
      <c r="O41" s="7">
        <v>-1196.3907829383038</v>
      </c>
      <c r="P41" s="7">
        <v>-907.91042693690804</v>
      </c>
      <c r="Q41" s="7">
        <v>-4785.5631317532152</v>
      </c>
      <c r="R41" s="7">
        <v>-3631.6417077476322</v>
      </c>
      <c r="S41" s="7">
        <v>10957400.469889253</v>
      </c>
      <c r="T41" s="7">
        <v>8626235.8235286605</v>
      </c>
      <c r="U41" s="7">
        <v>-593.75413796212399</v>
      </c>
      <c r="V41" s="7">
        <v>-467.43415368745929</v>
      </c>
      <c r="W41" s="7">
        <v>-2375.016551848496</v>
      </c>
      <c r="X41" s="7">
        <v>-1869.7366147498371</v>
      </c>
    </row>
    <row r="42" spans="1:24">
      <c r="A42" s="6">
        <v>2060</v>
      </c>
      <c r="B42" s="7">
        <v>781254</v>
      </c>
      <c r="C42" s="7">
        <v>257813.82</v>
      </c>
      <c r="D42" s="7">
        <v>97969.251600000003</v>
      </c>
      <c r="E42" s="9">
        <v>2523.350709054871</v>
      </c>
      <c r="F42" s="9">
        <v>61.212490837973519</v>
      </c>
      <c r="G42" s="7">
        <v>5944535.1042456469</v>
      </c>
      <c r="H42" s="7">
        <v>4256299.3648816878</v>
      </c>
      <c r="I42" s="7">
        <v>-910.94213947335095</v>
      </c>
      <c r="J42" s="7">
        <v>-374.7800438124292</v>
      </c>
      <c r="K42" s="7">
        <v>-2993.6066182859204</v>
      </c>
      <c r="L42" s="7">
        <v>-2293.9979122926088</v>
      </c>
      <c r="M42" s="7">
        <v>0</v>
      </c>
      <c r="N42" s="7">
        <v>0</v>
      </c>
      <c r="O42" s="7">
        <v>-937.01876373956259</v>
      </c>
      <c r="P42" s="7">
        <v>-646.76361696369747</v>
      </c>
      <c r="Q42" s="7">
        <v>-4259.1761988161943</v>
      </c>
      <c r="R42" s="7">
        <v>-2939.8346225622618</v>
      </c>
      <c r="S42" s="7">
        <v>10466015.173550442</v>
      </c>
      <c r="T42" s="7">
        <v>8020097.5009517325</v>
      </c>
      <c r="U42" s="7">
        <v>-499.07193355075276</v>
      </c>
      <c r="V42" s="7">
        <v>-382.43834933288338</v>
      </c>
      <c r="W42" s="7">
        <v>-2268.5087888670582</v>
      </c>
      <c r="X42" s="7">
        <v>-1738.3561333312882</v>
      </c>
    </row>
    <row r="43" spans="1:24">
      <c r="A43" s="6">
        <v>2061</v>
      </c>
      <c r="B43" s="7">
        <v>781254</v>
      </c>
      <c r="C43" s="7">
        <v>257813.82</v>
      </c>
      <c r="D43" s="7">
        <v>97969.251600000003</v>
      </c>
      <c r="E43" s="9">
        <v>2329.6652360751377</v>
      </c>
      <c r="F43" s="9">
        <v>66.329407997815053</v>
      </c>
      <c r="G43" s="7">
        <v>5883769.6813720297</v>
      </c>
      <c r="H43" s="7">
        <v>4409737.9804279078</v>
      </c>
      <c r="I43" s="7">
        <v>-854.86755904202641</v>
      </c>
      <c r="J43" s="7">
        <v>-414.46005178091485</v>
      </c>
      <c r="K43" s="7">
        <v>-3112.936613856341</v>
      </c>
      <c r="L43" s="7">
        <v>-2420.191520584639</v>
      </c>
      <c r="M43" s="7">
        <v>0</v>
      </c>
      <c r="N43" s="7">
        <v>0</v>
      </c>
      <c r="O43" s="7">
        <v>-800.389257181944</v>
      </c>
      <c r="P43" s="7">
        <v>-570.55727375312165</v>
      </c>
      <c r="Q43" s="7">
        <v>-4212.5750377997065</v>
      </c>
      <c r="R43" s="7">
        <v>-3002.9330197532727</v>
      </c>
      <c r="S43" s="7">
        <v>10480125.687581748</v>
      </c>
      <c r="T43" s="7">
        <v>8147904.8467760161</v>
      </c>
      <c r="U43" s="7">
        <v>-431.59777612883522</v>
      </c>
      <c r="V43" s="7">
        <v>-335.55109135235318</v>
      </c>
      <c r="W43" s="7">
        <v>-2271.5672427833438</v>
      </c>
      <c r="X43" s="7">
        <v>-1766.0583755387015</v>
      </c>
    </row>
    <row r="44" spans="1:24">
      <c r="A44" s="6">
        <v>2062</v>
      </c>
      <c r="B44" s="7">
        <v>781254</v>
      </c>
      <c r="C44" s="7">
        <v>257813.82</v>
      </c>
      <c r="D44" s="7">
        <v>97969.251600000003</v>
      </c>
      <c r="E44" s="9">
        <v>1306.0675557018035</v>
      </c>
      <c r="F44" s="9">
        <v>-100.95797256602361</v>
      </c>
      <c r="G44" s="7">
        <v>5127114.8040410755</v>
      </c>
      <c r="H44" s="7">
        <v>4250561.0744735152</v>
      </c>
      <c r="I44" s="7">
        <v>-352.9686007245943</v>
      </c>
      <c r="J44" s="7">
        <v>-285.58387331645247</v>
      </c>
      <c r="K44" s="7">
        <v>-3082.1824169450324</v>
      </c>
      <c r="L44" s="7">
        <v>-2483.2466970556343</v>
      </c>
      <c r="M44" s="7">
        <v>0</v>
      </c>
      <c r="N44" s="7">
        <v>0</v>
      </c>
      <c r="O44" s="7">
        <v>-572.44072453795536</v>
      </c>
      <c r="P44" s="7">
        <v>-455.28281740570225</v>
      </c>
      <c r="Q44" s="7">
        <v>-3577.7545283622203</v>
      </c>
      <c r="R44" s="7">
        <v>-2845.5176087856385</v>
      </c>
      <c r="S44" s="7">
        <v>10005995.078754991</v>
      </c>
      <c r="T44" s="7">
        <v>8061610.5307294643</v>
      </c>
      <c r="U44" s="7">
        <v>-347.00790933122317</v>
      </c>
      <c r="V44" s="7">
        <v>-279.57665320569788</v>
      </c>
      <c r="W44" s="7">
        <v>-2168.7994333201441</v>
      </c>
      <c r="X44" s="7">
        <v>-1747.3540825356113</v>
      </c>
    </row>
    <row r="45" spans="1:24">
      <c r="A45" s="6">
        <v>2063</v>
      </c>
      <c r="B45" s="7">
        <v>781254</v>
      </c>
      <c r="C45" s="7">
        <v>257813.82</v>
      </c>
      <c r="D45" s="7">
        <v>97969.251600000003</v>
      </c>
      <c r="E45" s="9">
        <v>1049.7721987776752</v>
      </c>
      <c r="F45" s="9">
        <v>-105.63749744427128</v>
      </c>
      <c r="G45" s="7">
        <v>5129489.2206699979</v>
      </c>
      <c r="H45" s="7">
        <v>4362215.6267315177</v>
      </c>
      <c r="I45" s="7">
        <v>-254.87669314830777</v>
      </c>
      <c r="J45" s="7">
        <v>-275.31323210398102</v>
      </c>
      <c r="K45" s="7">
        <v>-3198.3870630448077</v>
      </c>
      <c r="L45" s="7">
        <v>-2601.315249681325</v>
      </c>
      <c r="M45" s="7">
        <v>0</v>
      </c>
      <c r="N45" s="7">
        <v>0</v>
      </c>
      <c r="O45" s="7">
        <v>-449.62127970075022</v>
      </c>
      <c r="P45" s="7">
        <v>-369.21445114367214</v>
      </c>
      <c r="Q45" s="7">
        <v>-3458.6252284673092</v>
      </c>
      <c r="R45" s="7">
        <v>-2840.1111626436318</v>
      </c>
      <c r="S45" s="7">
        <v>10025198.9498426</v>
      </c>
      <c r="T45" s="7">
        <v>8153704.4751826562</v>
      </c>
      <c r="U45" s="7">
        <v>-282.48504340918987</v>
      </c>
      <c r="V45" s="7">
        <v>-229.75100784945931</v>
      </c>
      <c r="W45" s="7">
        <v>-2172.9618723783838</v>
      </c>
      <c r="X45" s="7">
        <v>-1767.3154449958408</v>
      </c>
    </row>
    <row r="46" spans="1:24">
      <c r="A46" s="6">
        <v>2064</v>
      </c>
      <c r="B46" s="7">
        <v>781254</v>
      </c>
      <c r="C46" s="7">
        <v>257813.82</v>
      </c>
      <c r="D46" s="7">
        <v>97969.251600000003</v>
      </c>
      <c r="E46" s="9">
        <v>269.04293917320683</v>
      </c>
      <c r="F46" s="9">
        <v>-1048.4059222148944</v>
      </c>
      <c r="G46" s="7">
        <v>4576522.2028902574</v>
      </c>
      <c r="H46" s="7">
        <v>3329030.3062251071</v>
      </c>
      <c r="I46" s="7">
        <v>89.331716920902039</v>
      </c>
      <c r="J46" s="7">
        <v>256.87109344850012</v>
      </c>
      <c r="K46" s="7">
        <v>-3186.4470050669875</v>
      </c>
      <c r="L46" s="7">
        <v>-2460.3267650729354</v>
      </c>
      <c r="M46" s="7">
        <v>0</v>
      </c>
      <c r="N46" s="7">
        <v>0</v>
      </c>
      <c r="O46" s="7">
        <v>-301.26797904641893</v>
      </c>
      <c r="P46" s="7">
        <v>-214.7783663452023</v>
      </c>
      <c r="Q46" s="7">
        <v>-3012.6797904641899</v>
      </c>
      <c r="R46" s="7">
        <v>-2147.7836634520236</v>
      </c>
      <c r="S46" s="7">
        <v>9654847.6011838987</v>
      </c>
      <c r="T46" s="7">
        <v>7454723.0592945619</v>
      </c>
      <c r="U46" s="7">
        <v>-209.26882175566095</v>
      </c>
      <c r="V46" s="7">
        <v>-161.58112231020959</v>
      </c>
      <c r="W46" s="7">
        <v>-2092.6882175566102</v>
      </c>
      <c r="X46" s="7">
        <v>-1615.8112231020962</v>
      </c>
    </row>
    <row r="47" spans="1:24">
      <c r="A47" s="6">
        <v>2065</v>
      </c>
      <c r="B47" s="7">
        <v>781254</v>
      </c>
      <c r="C47" s="7">
        <v>257813.82</v>
      </c>
      <c r="D47" s="7">
        <v>97969.251600000003</v>
      </c>
      <c r="E47" s="9">
        <v>1369.2560320436646</v>
      </c>
      <c r="F47" s="9">
        <v>-436.16318511340069</v>
      </c>
      <c r="G47" s="7">
        <v>5913876.6912447968</v>
      </c>
      <c r="H47" s="7">
        <v>4103080.3767214832</v>
      </c>
      <c r="I47" s="7">
        <v>-600.19732487352076</v>
      </c>
      <c r="J47" s="7">
        <v>-139.40600983590352</v>
      </c>
      <c r="K47" s="7">
        <v>-3489.3723099824315</v>
      </c>
      <c r="L47" s="7">
        <v>-2631.1293596322116</v>
      </c>
      <c r="M47" s="7">
        <v>0</v>
      </c>
      <c r="N47" s="7">
        <v>0</v>
      </c>
      <c r="O47" s="7">
        <v>-391.5941335747774</v>
      </c>
      <c r="P47" s="7">
        <v>-266.03817367017621</v>
      </c>
      <c r="Q47" s="7">
        <v>-3915.9413357477752</v>
      </c>
      <c r="R47" s="7">
        <v>-2660.3817367017627</v>
      </c>
      <c r="S47" s="7">
        <v>10572703.020982191</v>
      </c>
      <c r="T47" s="7">
        <v>7972250.2667875197</v>
      </c>
      <c r="U47" s="7">
        <v>-229.16333797978893</v>
      </c>
      <c r="V47" s="7">
        <v>-172.79852453261947</v>
      </c>
      <c r="W47" s="7">
        <v>-2291.63337979789</v>
      </c>
      <c r="X47" s="7">
        <v>-1727.9852453261949</v>
      </c>
    </row>
    <row r="48" spans="1:24">
      <c r="A48" s="6">
        <v>2066</v>
      </c>
      <c r="B48" s="7">
        <v>781254</v>
      </c>
      <c r="C48" s="7">
        <v>257813.82</v>
      </c>
      <c r="D48" s="7">
        <v>97969.251600000003</v>
      </c>
      <c r="E48" s="9">
        <v>182.21590834131231</v>
      </c>
      <c r="F48" s="9">
        <v>-806.42018969138917</v>
      </c>
      <c r="G48" s="7">
        <v>4815701.9643494356</v>
      </c>
      <c r="H48" s="7">
        <v>3681590.032309989</v>
      </c>
      <c r="I48" s="7">
        <v>-67.641540940425983</v>
      </c>
      <c r="J48" s="7">
        <v>37.408284086322112</v>
      </c>
      <c r="K48" s="7">
        <v>-3250.9330228013796</v>
      </c>
      <c r="L48" s="7">
        <v>-2537.7246455056752</v>
      </c>
      <c r="M48" s="7">
        <v>0</v>
      </c>
      <c r="N48" s="7">
        <v>0</v>
      </c>
      <c r="O48" s="7">
        <v>-323.28654474149874</v>
      </c>
      <c r="P48" s="7">
        <v>-243.13430384380106</v>
      </c>
      <c r="Q48" s="7">
        <v>-3232.865447414988</v>
      </c>
      <c r="R48" s="7">
        <v>-2431.3430384380113</v>
      </c>
      <c r="S48" s="7">
        <v>9850238.4778069053</v>
      </c>
      <c r="T48" s="7">
        <v>7689236.5280716922</v>
      </c>
      <c r="U48" s="7">
        <v>-213.50391900646463</v>
      </c>
      <c r="V48" s="7">
        <v>-166.6642017459539</v>
      </c>
      <c r="W48" s="7">
        <v>-2135.0391900646468</v>
      </c>
      <c r="X48" s="7">
        <v>-1666.6420174595394</v>
      </c>
    </row>
    <row r="49" spans="1:24">
      <c r="A49" s="6">
        <v>2067</v>
      </c>
      <c r="B49" s="7">
        <v>781254</v>
      </c>
      <c r="C49" s="7">
        <v>257813.82</v>
      </c>
      <c r="D49" s="7">
        <v>97969.251600000003</v>
      </c>
      <c r="E49" s="9">
        <v>-28.382482922756409</v>
      </c>
      <c r="F49" s="9">
        <v>-575.47205241535312</v>
      </c>
      <c r="G49" s="7">
        <v>4745930.6255203784</v>
      </c>
      <c r="H49" s="7">
        <v>3997645.7063775407</v>
      </c>
      <c r="I49" s="7">
        <v>-76.606348572093069</v>
      </c>
      <c r="J49" s="7">
        <v>-106.13944520197002</v>
      </c>
      <c r="K49" s="7">
        <v>-3236.255234872508</v>
      </c>
      <c r="L49" s="7">
        <v>-2608.4557254754432</v>
      </c>
      <c r="M49" s="7">
        <v>0</v>
      </c>
      <c r="N49" s="7">
        <v>0</v>
      </c>
      <c r="O49" s="7">
        <v>-324.57877844904192</v>
      </c>
      <c r="P49" s="7">
        <v>-261.83388426087782</v>
      </c>
      <c r="Q49" s="7">
        <v>-3245.7877844904201</v>
      </c>
      <c r="R49" s="7">
        <v>-2618.3388426087786</v>
      </c>
      <c r="S49" s="7">
        <v>9805765.1803221516</v>
      </c>
      <c r="T49" s="7">
        <v>7903549.7731027063</v>
      </c>
      <c r="U49" s="7">
        <v>-212.5399602834826</v>
      </c>
      <c r="V49" s="7">
        <v>-171.30944133200111</v>
      </c>
      <c r="W49" s="7">
        <v>-2125.3996028348265</v>
      </c>
      <c r="X49" s="7">
        <v>-1713.0944133200117</v>
      </c>
    </row>
    <row r="50" spans="1:24">
      <c r="A50" s="6">
        <v>2068</v>
      </c>
      <c r="B50" s="7">
        <v>781254</v>
      </c>
      <c r="C50" s="7">
        <v>257813.82</v>
      </c>
      <c r="D50" s="7">
        <v>97969.251600000003</v>
      </c>
      <c r="E50" s="9">
        <v>2932.5838688140957</v>
      </c>
      <c r="F50" s="9">
        <v>1617.065192746951</v>
      </c>
      <c r="G50" s="7">
        <v>7643736.3356322488</v>
      </c>
      <c r="H50" s="7">
        <v>6147983.9537055064</v>
      </c>
      <c r="I50" s="7">
        <v>-1733.8771492501496</v>
      </c>
      <c r="J50" s="7">
        <v>-1303.9449530191634</v>
      </c>
      <c r="K50" s="7">
        <v>-3901.156640821489</v>
      </c>
      <c r="L50" s="7">
        <v>-3102.5825559891045</v>
      </c>
      <c r="M50" s="7">
        <v>0</v>
      </c>
      <c r="N50" s="7">
        <v>0</v>
      </c>
      <c r="O50" s="7">
        <v>-542.74363718994971</v>
      </c>
      <c r="P50" s="7">
        <v>-419.67244529424136</v>
      </c>
      <c r="Q50" s="7">
        <v>-5427.4363718994982</v>
      </c>
      <c r="R50" s="7">
        <v>-4196.7244529424142</v>
      </c>
      <c r="S50" s="7">
        <v>11820398.323143041</v>
      </c>
      <c r="T50" s="7">
        <v>9400740.6056127641</v>
      </c>
      <c r="U50" s="7">
        <v>-256.20713365412536</v>
      </c>
      <c r="V50" s="7">
        <v>-203.76105262665664</v>
      </c>
      <c r="W50" s="7">
        <v>-2562.0713365412539</v>
      </c>
      <c r="X50" s="7">
        <v>-2037.6105262665667</v>
      </c>
    </row>
    <row r="51" spans="1:24">
      <c r="A51" s="6">
        <v>2069</v>
      </c>
      <c r="B51" s="7">
        <v>781254</v>
      </c>
      <c r="C51" s="7">
        <v>257813.82</v>
      </c>
      <c r="D51" s="7">
        <v>97969.251600000003</v>
      </c>
      <c r="E51" s="9">
        <v>2164.88109917257</v>
      </c>
      <c r="F51" s="9">
        <v>876.26005795995184</v>
      </c>
      <c r="G51" s="7">
        <v>6632757.9170788815</v>
      </c>
      <c r="H51" s="7">
        <v>5255809.4192845486</v>
      </c>
      <c r="I51" s="7">
        <v>-1063.3052326451525</v>
      </c>
      <c r="J51" s="7">
        <v>-668.71404613542154</v>
      </c>
      <c r="K51" s="7">
        <v>-3705.0224463916798</v>
      </c>
      <c r="L51" s="7">
        <v>-2924.2890385266037</v>
      </c>
      <c r="M51" s="7">
        <v>0</v>
      </c>
      <c r="N51" s="7">
        <v>0</v>
      </c>
      <c r="O51" s="7">
        <v>-459.79659501602481</v>
      </c>
      <c r="P51" s="7">
        <v>-340.07073107156424</v>
      </c>
      <c r="Q51" s="7">
        <v>-4597.9659501602491</v>
      </c>
      <c r="R51" s="7">
        <v>-3400.7073107156434</v>
      </c>
      <c r="S51" s="7">
        <v>11226117.058276696</v>
      </c>
      <c r="T51" s="7">
        <v>8860516.1058353782</v>
      </c>
      <c r="U51" s="7">
        <v>-243.32608723814732</v>
      </c>
      <c r="V51" s="7">
        <v>-192.05168659398177</v>
      </c>
      <c r="W51" s="7">
        <v>-2433.2608723814737</v>
      </c>
      <c r="X51" s="7">
        <v>-1920.5168659398182</v>
      </c>
    </row>
    <row r="52" spans="1:24">
      <c r="A52" s="6">
        <v>2070</v>
      </c>
      <c r="B52" s="7">
        <v>781254</v>
      </c>
      <c r="C52" s="7">
        <v>257813.82</v>
      </c>
      <c r="D52" s="7">
        <v>97969.251600000003</v>
      </c>
      <c r="E52" s="9">
        <v>3474.9148318711141</v>
      </c>
      <c r="F52" s="9">
        <v>1933.3206366330155</v>
      </c>
      <c r="G52" s="7">
        <v>7494425.2423869241</v>
      </c>
      <c r="H52" s="7">
        <v>5978879.0695840959</v>
      </c>
      <c r="I52" s="7">
        <v>-1676.5768919743568</v>
      </c>
      <c r="J52" s="7">
        <v>-1185.7627877025725</v>
      </c>
      <c r="K52" s="7">
        <v>-3925.8240058835759</v>
      </c>
      <c r="L52" s="7">
        <v>-3104.8780258929737</v>
      </c>
      <c r="M52" s="7">
        <v>0</v>
      </c>
      <c r="N52" s="7">
        <v>0</v>
      </c>
      <c r="O52" s="7">
        <v>-543.66611936104368</v>
      </c>
      <c r="P52" s="7">
        <v>-410.08622764255472</v>
      </c>
      <c r="Q52" s="7">
        <v>-5436.6611936104382</v>
      </c>
      <c r="R52" s="7">
        <v>-4100.8622764255479</v>
      </c>
      <c r="S52" s="7">
        <v>11895139.767145876</v>
      </c>
      <c r="T52" s="7">
        <v>9407695.8168746252</v>
      </c>
      <c r="U52" s="7">
        <v>-257.82715445288682</v>
      </c>
      <c r="V52" s="7">
        <v>-203.91180683075746</v>
      </c>
      <c r="W52" s="7">
        <v>-2578.2715445288686</v>
      </c>
      <c r="X52" s="7">
        <v>-2039.118068307575</v>
      </c>
    </row>
    <row r="53" spans="1:24">
      <c r="A53" s="6">
        <v>2071</v>
      </c>
      <c r="B53" s="7">
        <v>781254</v>
      </c>
      <c r="C53" s="7">
        <v>257813.82</v>
      </c>
      <c r="D53" s="7">
        <v>97969.251600000003</v>
      </c>
      <c r="E53" s="9">
        <v>2958.1656304919616</v>
      </c>
      <c r="F53" s="9">
        <v>484.01228586910685</v>
      </c>
      <c r="G53" s="7">
        <v>6891854.0043874998</v>
      </c>
      <c r="H53" s="7">
        <v>4592327.6892593866</v>
      </c>
      <c r="I53" s="7">
        <v>-1150.4045096077798</v>
      </c>
      <c r="J53" s="7">
        <v>-302.72720559575657</v>
      </c>
      <c r="K53" s="7">
        <v>-3821.0531608589854</v>
      </c>
      <c r="L53" s="7">
        <v>-2811.1781388642039</v>
      </c>
      <c r="M53" s="7">
        <v>0</v>
      </c>
      <c r="N53" s="7">
        <v>0</v>
      </c>
      <c r="O53" s="7">
        <v>-479.53549794117953</v>
      </c>
      <c r="P53" s="7">
        <v>-297.52113224322392</v>
      </c>
      <c r="Q53" s="7">
        <v>-4795.3549794117962</v>
      </c>
      <c r="R53" s="7">
        <v>-2975.2113224322397</v>
      </c>
      <c r="S53" s="7">
        <v>11577686.961512784</v>
      </c>
      <c r="T53" s="7">
        <v>8517793.161899168</v>
      </c>
      <c r="U53" s="7">
        <v>-250.94636489078954</v>
      </c>
      <c r="V53" s="7">
        <v>-184.62316678416445</v>
      </c>
      <c r="W53" s="7">
        <v>-2509.4636489078957</v>
      </c>
      <c r="X53" s="7">
        <v>-1846.2316678416448</v>
      </c>
    </row>
    <row r="54" spans="1:24">
      <c r="A54" s="6">
        <v>2072</v>
      </c>
      <c r="B54" s="7">
        <v>781254</v>
      </c>
      <c r="C54" s="7">
        <v>257813.82</v>
      </c>
      <c r="D54" s="7">
        <v>97969.251600000003</v>
      </c>
      <c r="E54" s="9">
        <v>1229.1056845910375</v>
      </c>
      <c r="F54" s="9">
        <v>270.92361354926493</v>
      </c>
      <c r="G54" s="7">
        <v>5106081.7345402669</v>
      </c>
      <c r="H54" s="7">
        <v>4294193.6772878096</v>
      </c>
      <c r="I54" s="7">
        <v>-249.66204665827684</v>
      </c>
      <c r="J54" s="7">
        <v>-179.00457693354906</v>
      </c>
      <c r="K54" s="7">
        <v>-3437.191031735636</v>
      </c>
      <c r="L54" s="7">
        <v>-2749.3996722645979</v>
      </c>
      <c r="M54" s="7">
        <v>0</v>
      </c>
      <c r="N54" s="7">
        <v>0</v>
      </c>
      <c r="O54" s="7">
        <v>-364.50168239448823</v>
      </c>
      <c r="P54" s="7">
        <v>-282.11481648556287</v>
      </c>
      <c r="Q54" s="7">
        <v>-3645.0168239448831</v>
      </c>
      <c r="R54" s="7">
        <v>-2821.1481648556296</v>
      </c>
      <c r="S54" s="7">
        <v>10414595.169727596</v>
      </c>
      <c r="T54" s="7">
        <v>8330606.0914393282</v>
      </c>
      <c r="U54" s="7">
        <v>-225.7363503038456</v>
      </c>
      <c r="V54" s="7">
        <v>-180.56588703194743</v>
      </c>
      <c r="W54" s="7">
        <v>-2257.3635030384567</v>
      </c>
      <c r="X54" s="7">
        <v>-1805.6588703194745</v>
      </c>
    </row>
    <row r="55" spans="1:24">
      <c r="A55" s="6">
        <v>2073</v>
      </c>
      <c r="B55" s="7">
        <v>781254</v>
      </c>
      <c r="C55" s="7">
        <v>257813.82</v>
      </c>
      <c r="D55" s="7">
        <v>97969.251600000003</v>
      </c>
      <c r="E55" s="9">
        <v>1134.7827668103903</v>
      </c>
      <c r="F55" s="9">
        <v>79.625193142269865</v>
      </c>
      <c r="G55" s="7">
        <v>5151208.7317880811</v>
      </c>
      <c r="H55" s="7">
        <v>4117092.275831758</v>
      </c>
      <c r="I55" s="7">
        <v>-244.97609564234236</v>
      </c>
      <c r="J55" s="7">
        <v>-68.456046112569794</v>
      </c>
      <c r="K55" s="7">
        <v>-3451.8899449292294</v>
      </c>
      <c r="L55" s="7">
        <v>-2712.0795355847758</v>
      </c>
      <c r="M55" s="7">
        <v>0</v>
      </c>
      <c r="N55" s="7">
        <v>0</v>
      </c>
      <c r="O55" s="7">
        <v>-364.56240401148466</v>
      </c>
      <c r="P55" s="7">
        <v>-268.05623887736903</v>
      </c>
      <c r="Q55" s="7">
        <v>-3645.6240401148475</v>
      </c>
      <c r="R55" s="7">
        <v>-2680.5623887736906</v>
      </c>
      <c r="S55" s="7">
        <v>10459132.476188838</v>
      </c>
      <c r="T55" s="7">
        <v>8217527.0941969249</v>
      </c>
      <c r="U55" s="7">
        <v>-226.70169642139302</v>
      </c>
      <c r="V55" s="7">
        <v>-178.11489976671831</v>
      </c>
      <c r="W55" s="7">
        <v>-2267.0169642139313</v>
      </c>
      <c r="X55" s="7">
        <v>-1781.1489976671835</v>
      </c>
    </row>
    <row r="56" spans="1:24">
      <c r="A56" s="6">
        <v>2074</v>
      </c>
      <c r="B56" s="7">
        <v>781254</v>
      </c>
      <c r="C56" s="7">
        <v>257813.82</v>
      </c>
      <c r="D56" s="7">
        <v>97969.251600000003</v>
      </c>
      <c r="E56" s="9">
        <v>2138.1545343854559</v>
      </c>
      <c r="F56" s="9">
        <v>1025.7943105017725</v>
      </c>
      <c r="G56" s="7">
        <v>6251976.0305228615</v>
      </c>
      <c r="H56" s="7">
        <v>5064969.7771816663</v>
      </c>
      <c r="I56" s="7">
        <v>-790.48727064484706</v>
      </c>
      <c r="J56" s="7">
        <v>-543.70246789927091</v>
      </c>
      <c r="K56" s="7">
        <v>-3707.7370978756035</v>
      </c>
      <c r="L56" s="7">
        <v>-2929.4936720860146</v>
      </c>
      <c r="M56" s="7">
        <v>0</v>
      </c>
      <c r="N56" s="7">
        <v>0</v>
      </c>
      <c r="O56" s="7">
        <v>-436.98517135156231</v>
      </c>
      <c r="P56" s="7">
        <v>-330.71685384808234</v>
      </c>
      <c r="Q56" s="7">
        <v>-4369.8517135156244</v>
      </c>
      <c r="R56" s="7">
        <v>-3307.1685384808243</v>
      </c>
      <c r="S56" s="7">
        <v>11234342.378304282</v>
      </c>
      <c r="T56" s="7">
        <v>8876286.0037047639</v>
      </c>
      <c r="U56" s="7">
        <v>-243.50437104974529</v>
      </c>
      <c r="V56" s="7">
        <v>-192.39349913030071</v>
      </c>
      <c r="W56" s="7">
        <v>-2435.0437104974535</v>
      </c>
      <c r="X56" s="7">
        <v>-1923.9349913030076</v>
      </c>
    </row>
    <row r="57" spans="1:24">
      <c r="A57" s="6">
        <v>2075</v>
      </c>
      <c r="B57" s="7">
        <v>781254</v>
      </c>
      <c r="C57" s="7">
        <v>257813.82</v>
      </c>
      <c r="D57" s="7">
        <v>97969.251600000003</v>
      </c>
      <c r="E57" s="9">
        <v>2162.2794421929289</v>
      </c>
      <c r="F57" s="9">
        <v>1464.2654716766365</v>
      </c>
      <c r="G57" s="7">
        <v>6233208.3254204895</v>
      </c>
      <c r="H57" s="7">
        <v>5426006.0890721278</v>
      </c>
      <c r="I57" s="7">
        <v>-832.67852146460405</v>
      </c>
      <c r="J57" s="7">
        <v>-793.19179117452893</v>
      </c>
      <c r="K57" s="7">
        <v>-3720.2688849476153</v>
      </c>
      <c r="L57" s="7">
        <v>-3023.8342013209513</v>
      </c>
      <c r="M57" s="7">
        <v>0</v>
      </c>
      <c r="N57" s="7">
        <v>0</v>
      </c>
      <c r="O57" s="7">
        <v>-444.88458084668673</v>
      </c>
      <c r="P57" s="7">
        <v>-365.15052756060277</v>
      </c>
      <c r="Q57" s="7">
        <v>-4448.8458084668682</v>
      </c>
      <c r="R57" s="7">
        <v>-3651.5052756060286</v>
      </c>
      <c r="S57" s="7">
        <v>11272313.35166689</v>
      </c>
      <c r="T57" s="7">
        <v>9162135.2366999947</v>
      </c>
      <c r="U57" s="7">
        <v>-244.32739189737981</v>
      </c>
      <c r="V57" s="7">
        <v>-198.58928125547234</v>
      </c>
      <c r="W57" s="7">
        <v>-2443.2739189737986</v>
      </c>
      <c r="X57" s="7">
        <v>-1985.8928125547238</v>
      </c>
    </row>
    <row r="58" spans="1:24">
      <c r="A58" s="6">
        <v>2076</v>
      </c>
      <c r="B58" s="7">
        <v>781254</v>
      </c>
      <c r="C58" s="7">
        <v>257813.82</v>
      </c>
      <c r="D58" s="7">
        <v>97969.251600000003</v>
      </c>
      <c r="E58" s="9">
        <v>3532.119283798781</v>
      </c>
      <c r="F58" s="9">
        <v>2516.4487908882002</v>
      </c>
      <c r="G58" s="7">
        <v>7479341.3766060686</v>
      </c>
      <c r="H58" s="7">
        <v>6356005.515441373</v>
      </c>
      <c r="I58" s="7">
        <v>-1389.2777232604099</v>
      </c>
      <c r="J58" s="7">
        <v>-1214.6763798977477</v>
      </c>
      <c r="K58" s="7">
        <v>-4021.2533233435302</v>
      </c>
      <c r="L58" s="7">
        <v>-3252.2355152516016</v>
      </c>
      <c r="M58" s="7">
        <v>0</v>
      </c>
      <c r="N58" s="7">
        <v>0</v>
      </c>
      <c r="O58" s="7">
        <v>-520.58722675701949</v>
      </c>
      <c r="P58" s="7">
        <v>-422.98489096906331</v>
      </c>
      <c r="Q58" s="7">
        <v>-5205.8722675701956</v>
      </c>
      <c r="R58" s="7">
        <v>-4229.8489096906342</v>
      </c>
      <c r="S58" s="7">
        <v>12184287.998795655</v>
      </c>
      <c r="T58" s="7">
        <v>9854184.9944408219</v>
      </c>
      <c r="U58" s="7">
        <v>-264.09444237389573</v>
      </c>
      <c r="V58" s="7">
        <v>-213.58945975450476</v>
      </c>
      <c r="W58" s="7">
        <v>-2640.944423738958</v>
      </c>
      <c r="X58" s="7">
        <v>-2135.8945975450483</v>
      </c>
    </row>
    <row r="59" spans="1:24">
      <c r="A59" s="6">
        <v>2077</v>
      </c>
      <c r="B59" s="7">
        <v>781254</v>
      </c>
      <c r="C59" s="7">
        <v>257813.82</v>
      </c>
      <c r="D59" s="7">
        <v>97969.251600000003</v>
      </c>
      <c r="E59" s="9">
        <v>3160.5226240001243</v>
      </c>
      <c r="F59" s="9">
        <v>2026.0614278392866</v>
      </c>
      <c r="G59" s="7">
        <v>6719955.6782237142</v>
      </c>
      <c r="H59" s="7">
        <v>5578346.3818213819</v>
      </c>
      <c r="I59" s="7">
        <v>-1043.1432779339179</v>
      </c>
      <c r="J59" s="7">
        <v>-836.57203823870191</v>
      </c>
      <c r="K59" s="7">
        <v>-3877.2952869369806</v>
      </c>
      <c r="L59" s="7">
        <v>-3100.3285744503701</v>
      </c>
      <c r="M59" s="7">
        <v>0</v>
      </c>
      <c r="N59" s="7">
        <v>0</v>
      </c>
      <c r="O59" s="7">
        <v>-479.25125714964821</v>
      </c>
      <c r="P59" s="7">
        <v>-376.9331420359801</v>
      </c>
      <c r="Q59" s="7">
        <v>-4792.5125714964834</v>
      </c>
      <c r="R59" s="7">
        <v>-3769.331420359802</v>
      </c>
      <c r="S59" s="7">
        <v>11748099.071046112</v>
      </c>
      <c r="T59" s="7">
        <v>9393911.1029667892</v>
      </c>
      <c r="U59" s="7">
        <v>-254.64004736492444</v>
      </c>
      <c r="V59" s="7">
        <v>-203.61302315680513</v>
      </c>
      <c r="W59" s="7">
        <v>-2546.4004736492448</v>
      </c>
      <c r="X59" s="7">
        <v>-2036.1302315680516</v>
      </c>
    </row>
    <row r="60" spans="1:24">
      <c r="A60" s="6">
        <v>2078</v>
      </c>
      <c r="B60" s="7">
        <v>781254</v>
      </c>
      <c r="C60" s="7">
        <v>257813.82</v>
      </c>
      <c r="D60" s="7">
        <v>97969.251600000003</v>
      </c>
      <c r="E60" s="9">
        <v>2718.951353476773</v>
      </c>
      <c r="F60" s="9">
        <v>1623.4448354941615</v>
      </c>
      <c r="G60" s="7">
        <v>6557723.5656596525</v>
      </c>
      <c r="H60" s="7">
        <v>5354950.7236811258</v>
      </c>
      <c r="I60" s="7">
        <v>-837.29671877005126</v>
      </c>
      <c r="J60" s="7">
        <v>-625.09150907191622</v>
      </c>
      <c r="K60" s="7">
        <v>-3860.5662387390576</v>
      </c>
      <c r="L60" s="7">
        <v>-3065.6852378044541</v>
      </c>
      <c r="M60" s="7">
        <v>0</v>
      </c>
      <c r="N60" s="7">
        <v>0</v>
      </c>
      <c r="O60" s="7">
        <v>-455.29934989635336</v>
      </c>
      <c r="P60" s="7">
        <v>-351.63092535244004</v>
      </c>
      <c r="Q60" s="7">
        <v>-4552.9934989635349</v>
      </c>
      <c r="R60" s="7">
        <v>-3516.3092535244014</v>
      </c>
      <c r="S60" s="7">
        <v>11697410.510838782</v>
      </c>
      <c r="T60" s="7">
        <v>9288942.7368897907</v>
      </c>
      <c r="U60" s="7">
        <v>-253.54137282243053</v>
      </c>
      <c r="V60" s="7">
        <v>-201.33783382208617</v>
      </c>
      <c r="W60" s="7">
        <v>-2535.4137282243059</v>
      </c>
      <c r="X60" s="7">
        <v>-2013.3783382208619</v>
      </c>
    </row>
    <row r="61" spans="1:24">
      <c r="A61" s="6">
        <v>2079</v>
      </c>
      <c r="B61" s="7">
        <v>781254</v>
      </c>
      <c r="C61" s="7">
        <v>257813.82</v>
      </c>
      <c r="D61" s="7">
        <v>97969.251600000003</v>
      </c>
      <c r="E61" s="9">
        <v>2963.1803970579108</v>
      </c>
      <c r="F61" s="9">
        <v>1606.6859155239331</v>
      </c>
      <c r="G61" s="7">
        <v>6964632.0371313756</v>
      </c>
      <c r="H61" s="7">
        <v>5386996.5270661861</v>
      </c>
      <c r="I61" s="7">
        <v>-910.52543135058283</v>
      </c>
      <c r="J61" s="7">
        <v>-527.57779860541632</v>
      </c>
      <c r="K61" s="7">
        <v>-3969.2940273098575</v>
      </c>
      <c r="L61" s="7">
        <v>-3084.6683300668392</v>
      </c>
      <c r="M61" s="7">
        <v>0</v>
      </c>
      <c r="N61" s="7">
        <v>0</v>
      </c>
      <c r="O61" s="7">
        <v>-467.42002540521145</v>
      </c>
      <c r="P61" s="7">
        <v>-340.66413414380963</v>
      </c>
      <c r="Q61" s="7">
        <v>-4674.2002540521153</v>
      </c>
      <c r="R61" s="7">
        <v>-3406.6413414380972</v>
      </c>
      <c r="S61" s="7">
        <v>12026852.747598263</v>
      </c>
      <c r="T61" s="7">
        <v>9346460.9891943485</v>
      </c>
      <c r="U61" s="7">
        <v>-260.68203330419226</v>
      </c>
      <c r="V61" s="7">
        <v>-202.58454194078746</v>
      </c>
      <c r="W61" s="7">
        <v>-2606.8203330419233</v>
      </c>
      <c r="X61" s="7">
        <v>-2025.8454194078752</v>
      </c>
    </row>
    <row r="62" spans="1:24">
      <c r="A62" s="6">
        <v>2080</v>
      </c>
      <c r="B62" s="7">
        <v>781254</v>
      </c>
      <c r="C62" s="7">
        <v>257813.82</v>
      </c>
      <c r="D62" s="7">
        <v>97969.251600000003</v>
      </c>
      <c r="E62" s="9">
        <v>3207.3103287796848</v>
      </c>
      <c r="F62" s="9">
        <v>1995.1766015271062</v>
      </c>
      <c r="G62" s="7">
        <v>6858880.6589040728</v>
      </c>
      <c r="H62" s="7">
        <v>5559133.6567865787</v>
      </c>
      <c r="I62" s="7">
        <v>-1026.450644317368</v>
      </c>
      <c r="J62" s="7">
        <v>-756.70289394590691</v>
      </c>
      <c r="K62" s="7">
        <v>-3965.7399265691975</v>
      </c>
      <c r="L62" s="7">
        <v>-3136.294360008761</v>
      </c>
      <c r="M62" s="7">
        <v>0</v>
      </c>
      <c r="N62" s="7">
        <v>0</v>
      </c>
      <c r="O62" s="7">
        <v>-485.38257680618597</v>
      </c>
      <c r="P62" s="7">
        <v>-372.36394259210857</v>
      </c>
      <c r="Q62" s="7">
        <v>-4853.8257680618608</v>
      </c>
      <c r="R62" s="7">
        <v>-3723.6394259210865</v>
      </c>
      <c r="S62" s="7">
        <v>12016083.919196045</v>
      </c>
      <c r="T62" s="7">
        <v>9502886.4532145578</v>
      </c>
      <c r="U62" s="7">
        <v>-260.44861894857422</v>
      </c>
      <c r="V62" s="7">
        <v>-205.97506387342548</v>
      </c>
      <c r="W62" s="7">
        <v>-2604.4861894857427</v>
      </c>
      <c r="X62" s="7">
        <v>-2059.7506387342551</v>
      </c>
    </row>
    <row r="63" spans="1:24">
      <c r="A63" s="6">
        <v>2081</v>
      </c>
      <c r="B63" s="7">
        <v>781254</v>
      </c>
      <c r="C63" s="7">
        <v>257813.82</v>
      </c>
      <c r="D63" s="7">
        <v>97969.251600000003</v>
      </c>
      <c r="E63" s="9">
        <v>3719.3349919164043</v>
      </c>
      <c r="F63" s="9">
        <v>2315.1614209448508</v>
      </c>
      <c r="G63" s="7">
        <v>7239645.900506516</v>
      </c>
      <c r="H63" s="7">
        <v>5731553.9911777414</v>
      </c>
      <c r="I63" s="7">
        <v>-1094.1488701789281</v>
      </c>
      <c r="J63" s="7">
        <v>-766.46739684559384</v>
      </c>
      <c r="K63" s="7">
        <v>-4072.6049524986988</v>
      </c>
      <c r="L63" s="7">
        <v>-3190.526853191107</v>
      </c>
      <c r="M63" s="7">
        <v>0</v>
      </c>
      <c r="N63" s="7">
        <v>0</v>
      </c>
      <c r="O63" s="7">
        <v>-497.35714643724128</v>
      </c>
      <c r="P63" s="7">
        <v>-375.9142427638123</v>
      </c>
      <c r="Q63" s="7">
        <v>-4973.5714643724141</v>
      </c>
      <c r="R63" s="7">
        <v>-3759.142427638124</v>
      </c>
      <c r="S63" s="7">
        <v>12339882.035908865</v>
      </c>
      <c r="T63" s="7">
        <v>9667209.4298324548</v>
      </c>
      <c r="U63" s="7">
        <v>-267.4669431283246</v>
      </c>
      <c r="V63" s="7">
        <v>-209.53676439161842</v>
      </c>
      <c r="W63" s="7">
        <v>-2674.6694312832469</v>
      </c>
      <c r="X63" s="7">
        <v>-2095.3676439161845</v>
      </c>
    </row>
    <row r="64" spans="1:24">
      <c r="A64" s="6">
        <v>2082</v>
      </c>
      <c r="B64" s="7">
        <v>781254</v>
      </c>
      <c r="C64" s="7">
        <v>257813.82</v>
      </c>
      <c r="D64" s="7">
        <v>97969.251600000003</v>
      </c>
      <c r="E64" s="9">
        <v>3032.1033823379707</v>
      </c>
      <c r="F64" s="9">
        <v>1719.5853601262593</v>
      </c>
      <c r="G64" s="7">
        <v>6458663.2331874156</v>
      </c>
      <c r="H64" s="7">
        <v>5017900.4182687011</v>
      </c>
      <c r="I64" s="7">
        <v>-649.1612782776109</v>
      </c>
      <c r="J64" s="7">
        <v>-407.27015145321474</v>
      </c>
      <c r="K64" s="7">
        <v>-3916.3843312038111</v>
      </c>
      <c r="L64" s="7">
        <v>-3043.4507374126711</v>
      </c>
      <c r="M64" s="7">
        <v>0</v>
      </c>
      <c r="N64" s="7">
        <v>0</v>
      </c>
      <c r="O64" s="7">
        <v>-442.09451970037497</v>
      </c>
      <c r="P64" s="7">
        <v>-330.95695110349612</v>
      </c>
      <c r="Q64" s="7">
        <v>-4420.9451970037508</v>
      </c>
      <c r="R64" s="7">
        <v>-3309.569511034962</v>
      </c>
      <c r="S64" s="7">
        <v>11866537.810078032</v>
      </c>
      <c r="T64" s="7">
        <v>9221572.8065473866</v>
      </c>
      <c r="U64" s="7">
        <v>-257.20720703344125</v>
      </c>
      <c r="V64" s="7">
        <v>-199.87759058191455</v>
      </c>
      <c r="W64" s="7">
        <v>-2572.0720703344132</v>
      </c>
      <c r="X64" s="7">
        <v>-1998.7759058191459</v>
      </c>
    </row>
    <row r="65" spans="1:24">
      <c r="A65" s="6">
        <v>2083</v>
      </c>
      <c r="B65" s="7">
        <v>781254</v>
      </c>
      <c r="C65" s="7">
        <v>257813.82</v>
      </c>
      <c r="D65" s="7">
        <v>97969.251600000003</v>
      </c>
      <c r="E65" s="9">
        <v>2694.3739204052931</v>
      </c>
      <c r="F65" s="9">
        <v>1254.1977662558982</v>
      </c>
      <c r="G65" s="7">
        <v>6004786.4539491795</v>
      </c>
      <c r="H65" s="7">
        <v>4488487.0566168129</v>
      </c>
      <c r="I65" s="7">
        <v>-535.55817143489321</v>
      </c>
      <c r="J65" s="7">
        <v>-170.632179485091</v>
      </c>
      <c r="K65" s="7">
        <v>-3827.1728561616037</v>
      </c>
      <c r="L65" s="7">
        <v>-2931.1116880294085</v>
      </c>
      <c r="M65" s="7">
        <v>0</v>
      </c>
      <c r="N65" s="7">
        <v>0</v>
      </c>
      <c r="O65" s="7">
        <v>-429.05677512806358</v>
      </c>
      <c r="P65" s="7">
        <v>-301.01662342203542</v>
      </c>
      <c r="Q65" s="7">
        <v>-4290.5677512806369</v>
      </c>
      <c r="R65" s="7">
        <v>-3010.1662342203549</v>
      </c>
      <c r="S65" s="7">
        <v>11596229.471530527</v>
      </c>
      <c r="T65" s="7">
        <v>8881188.5479256213</v>
      </c>
      <c r="U65" s="7">
        <v>-251.34827379542412</v>
      </c>
      <c r="V65" s="7">
        <v>-192.49976177628781</v>
      </c>
      <c r="W65" s="7">
        <v>-2513.4827379542417</v>
      </c>
      <c r="X65" s="7">
        <v>-1924.9976177628787</v>
      </c>
    </row>
    <row r="66" spans="1:24">
      <c r="A66" s="6">
        <v>2084</v>
      </c>
      <c r="B66" s="7">
        <v>781254</v>
      </c>
      <c r="C66" s="7">
        <v>257813.82</v>
      </c>
      <c r="D66" s="7">
        <v>97969.251600000003</v>
      </c>
      <c r="E66" s="9">
        <v>2549.8003579012811</v>
      </c>
      <c r="F66" s="9">
        <v>1037.9503175195082</v>
      </c>
      <c r="G66" s="7">
        <v>5922204.9831813695</v>
      </c>
      <c r="H66" s="7">
        <v>4352044.8797260867</v>
      </c>
      <c r="I66" s="7">
        <v>-391.10999244395111</v>
      </c>
      <c r="J66" s="7">
        <v>-16.567756414109226</v>
      </c>
      <c r="K66" s="7">
        <v>-3818.0023859121384</v>
      </c>
      <c r="L66" s="7">
        <v>-2902.2256695240267</v>
      </c>
      <c r="M66" s="7">
        <v>0</v>
      </c>
      <c r="N66" s="7">
        <v>0</v>
      </c>
      <c r="O66" s="7">
        <v>-411.61336270873716</v>
      </c>
      <c r="P66" s="7">
        <v>-281.2098415027192</v>
      </c>
      <c r="Q66" s="7">
        <v>-4116.1336270873726</v>
      </c>
      <c r="R66" s="7">
        <v>-2812.0984150271925</v>
      </c>
      <c r="S66" s="7">
        <v>11568443.196551222</v>
      </c>
      <c r="T66" s="7">
        <v>8793664.6989392862</v>
      </c>
      <c r="U66" s="7">
        <v>-250.74600628524769</v>
      </c>
      <c r="V66" s="7">
        <v>-190.60268234950897</v>
      </c>
      <c r="W66" s="7">
        <v>-2507.4600628524772</v>
      </c>
      <c r="X66" s="7">
        <v>-1906.0268234950902</v>
      </c>
    </row>
    <row r="67" spans="1:24">
      <c r="A67" s="6">
        <v>2085</v>
      </c>
      <c r="B67" s="7">
        <v>781254</v>
      </c>
      <c r="C67" s="7">
        <v>257813.82</v>
      </c>
      <c r="D67" s="7">
        <v>97969.251600000003</v>
      </c>
      <c r="E67" s="9">
        <v>4009.4502935239311</v>
      </c>
      <c r="F67" s="9">
        <v>2719.4097412284609</v>
      </c>
      <c r="G67" s="7">
        <v>7544758.7669850644</v>
      </c>
      <c r="H67" s="7">
        <v>6153589.3137058588</v>
      </c>
      <c r="I67" s="7">
        <v>-1300.2932239150332</v>
      </c>
      <c r="J67" s="7">
        <v>-1013.5674387534152</v>
      </c>
      <c r="K67" s="7">
        <v>-4197.2575601667868</v>
      </c>
      <c r="L67" s="7">
        <v>-3314.5127561781355</v>
      </c>
      <c r="M67" s="7">
        <v>0</v>
      </c>
      <c r="N67" s="7">
        <v>0</v>
      </c>
      <c r="O67" s="7">
        <v>-532.3353580558113</v>
      </c>
      <c r="P67" s="7">
        <v>-412.35499205220702</v>
      </c>
      <c r="Q67" s="7">
        <v>-5323.3535805581141</v>
      </c>
      <c r="R67" s="7">
        <v>-4123.5499205220713</v>
      </c>
      <c r="S67" s="7">
        <v>12717576.040614352</v>
      </c>
      <c r="T67" s="7">
        <v>10042883.337520672</v>
      </c>
      <c r="U67" s="7">
        <v>-275.65346068031596</v>
      </c>
      <c r="V67" s="7">
        <v>-217.67949634076052</v>
      </c>
      <c r="W67" s="7">
        <v>-2756.5346068031608</v>
      </c>
      <c r="X67" s="7">
        <v>-2176.7949634076058</v>
      </c>
    </row>
    <row r="68" spans="1:24">
      <c r="A68" s="6">
        <v>2086</v>
      </c>
      <c r="B68" s="7">
        <v>781254</v>
      </c>
      <c r="C68" s="7">
        <v>257813.82</v>
      </c>
      <c r="D68" s="7">
        <v>97969.251600000003</v>
      </c>
      <c r="E68" s="9">
        <v>3945.4222751505349</v>
      </c>
      <c r="F68" s="9">
        <v>2689.1262362494508</v>
      </c>
      <c r="G68" s="7">
        <v>6837308.393816771</v>
      </c>
      <c r="H68" s="7">
        <v>5554731.1642611902</v>
      </c>
      <c r="I68" s="7">
        <v>-1058.6324135302089</v>
      </c>
      <c r="J68" s="7">
        <v>-794.43881717023055</v>
      </c>
      <c r="K68" s="7">
        <v>-4064.1380628250854</v>
      </c>
      <c r="L68" s="7">
        <v>-3199.8956595664931</v>
      </c>
      <c r="M68" s="7">
        <v>0</v>
      </c>
      <c r="N68" s="7">
        <v>0</v>
      </c>
      <c r="O68" s="7">
        <v>-504.47398954764327</v>
      </c>
      <c r="P68" s="7">
        <v>-386.59824596174275</v>
      </c>
      <c r="Q68" s="7">
        <v>-5044.739895476434</v>
      </c>
      <c r="R68" s="7">
        <v>-3865.9824596174285</v>
      </c>
      <c r="S68" s="7">
        <v>12314227.590903256</v>
      </c>
      <c r="T68" s="7">
        <v>9695596.6578690484</v>
      </c>
      <c r="U68" s="7">
        <v>-266.91088303282805</v>
      </c>
      <c r="V68" s="7">
        <v>-210.15205755931157</v>
      </c>
      <c r="W68" s="7">
        <v>-2669.1088303282809</v>
      </c>
      <c r="X68" s="7">
        <v>-2101.5205755931161</v>
      </c>
    </row>
    <row r="69" spans="1:24">
      <c r="A69" s="6">
        <v>2087</v>
      </c>
      <c r="B69" s="7">
        <v>781254</v>
      </c>
      <c r="C69" s="7">
        <v>257813.82</v>
      </c>
      <c r="D69" s="7">
        <v>97969.251600000003</v>
      </c>
      <c r="E69" s="9">
        <v>3721.7017288744296</v>
      </c>
      <c r="F69" s="9">
        <v>2354.8642083499867</v>
      </c>
      <c r="G69" s="7">
        <v>6665600.0951211303</v>
      </c>
      <c r="H69" s="7">
        <v>5215674.9601509236</v>
      </c>
      <c r="I69" s="7">
        <v>-842.04645721541101</v>
      </c>
      <c r="J69" s="7">
        <v>-516.9451059784318</v>
      </c>
      <c r="K69" s="7">
        <v>-4045.5307861742299</v>
      </c>
      <c r="L69" s="7">
        <v>-3137.8619639642893</v>
      </c>
      <c r="M69" s="7">
        <v>0</v>
      </c>
      <c r="N69" s="7">
        <v>0</v>
      </c>
      <c r="O69" s="7">
        <v>-479.15983446653189</v>
      </c>
      <c r="P69" s="7">
        <v>-352.48269156993086</v>
      </c>
      <c r="Q69" s="7">
        <v>-4791.5983446653199</v>
      </c>
      <c r="R69" s="7">
        <v>-3524.8269156993092</v>
      </c>
      <c r="S69" s="7">
        <v>12257848.049661428</v>
      </c>
      <c r="T69" s="7">
        <v>9507636.2504858039</v>
      </c>
      <c r="U69" s="7">
        <v>-265.68885647641139</v>
      </c>
      <c r="V69" s="7">
        <v>-206.07801572927977</v>
      </c>
      <c r="W69" s="7">
        <v>-2656.8885647641146</v>
      </c>
      <c r="X69" s="7">
        <v>-2060.7801572927983</v>
      </c>
    </row>
    <row r="70" spans="1:24">
      <c r="A70" s="6">
        <v>2088</v>
      </c>
      <c r="B70" s="7">
        <v>781254</v>
      </c>
      <c r="C70" s="7">
        <v>257813.82</v>
      </c>
      <c r="D70" s="7">
        <v>97969.251600000003</v>
      </c>
      <c r="E70" s="9">
        <v>3334.6241724791544</v>
      </c>
      <c r="F70" s="9">
        <v>2073.9236493537837</v>
      </c>
      <c r="G70" s="7">
        <v>6227512.1080641728</v>
      </c>
      <c r="H70" s="7">
        <v>4936964.1433335468</v>
      </c>
      <c r="I70" s="7">
        <v>-611.16273606993445</v>
      </c>
      <c r="J70" s="7">
        <v>-349.31613294952052</v>
      </c>
      <c r="K70" s="7">
        <v>-3962.7524020516958</v>
      </c>
      <c r="L70" s="7">
        <v>-3084.5209401830011</v>
      </c>
      <c r="M70" s="7">
        <v>0</v>
      </c>
      <c r="N70" s="7">
        <v>0</v>
      </c>
      <c r="O70" s="7">
        <v>-451.2963680682106</v>
      </c>
      <c r="P70" s="7">
        <v>-331.96178335247725</v>
      </c>
      <c r="Q70" s="7">
        <v>-4512.9636806821072</v>
      </c>
      <c r="R70" s="7">
        <v>-3319.6178335247732</v>
      </c>
      <c r="S70" s="7">
        <v>12007031.801311951</v>
      </c>
      <c r="T70" s="7">
        <v>9346014.4018623922</v>
      </c>
      <c r="U70" s="7">
        <v>-260.25241429343646</v>
      </c>
      <c r="V70" s="7">
        <v>-202.5748621603673</v>
      </c>
      <c r="W70" s="7">
        <v>-2602.524142934365</v>
      </c>
      <c r="X70" s="7">
        <v>-2025.7486216036737</v>
      </c>
    </row>
    <row r="71" spans="1:24">
      <c r="A71" s="6">
        <v>2089</v>
      </c>
      <c r="B71" s="7">
        <v>781254</v>
      </c>
      <c r="C71" s="7">
        <v>257813.82</v>
      </c>
      <c r="D71" s="7">
        <v>97969.251600000003</v>
      </c>
      <c r="E71" s="9">
        <v>4012.5162854173709</v>
      </c>
      <c r="F71" s="9">
        <v>2274.40962117547</v>
      </c>
      <c r="G71" s="7">
        <v>6798316.6491428446</v>
      </c>
      <c r="H71" s="7">
        <v>5128012.2834261414</v>
      </c>
      <c r="I71" s="7">
        <v>-981.49564821749993</v>
      </c>
      <c r="J71" s="7">
        <v>-496.9493701642615</v>
      </c>
      <c r="K71" s="7">
        <v>-4106.4599357902407</v>
      </c>
      <c r="L71" s="7">
        <v>-3135.7289180189623</v>
      </c>
      <c r="M71" s="7">
        <v>0</v>
      </c>
      <c r="N71" s="7">
        <v>0</v>
      </c>
      <c r="O71" s="7">
        <v>-501.81506937870671</v>
      </c>
      <c r="P71" s="7">
        <v>-352.39825003445543</v>
      </c>
      <c r="Q71" s="7">
        <v>-5018.1506937870681</v>
      </c>
      <c r="R71" s="7">
        <v>-3523.9825003445549</v>
      </c>
      <c r="S71" s="7">
        <v>12442461.712803127</v>
      </c>
      <c r="T71" s="7">
        <v>9501173.179392606</v>
      </c>
      <c r="U71" s="7">
        <v>-269.69035762500772</v>
      </c>
      <c r="V71" s="7">
        <v>-205.9379286633347</v>
      </c>
      <c r="W71" s="7">
        <v>-2696.9035762500775</v>
      </c>
      <c r="X71" s="7">
        <v>-2059.3792866333474</v>
      </c>
    </row>
    <row r="72" spans="1:24">
      <c r="A72" s="6">
        <v>2090</v>
      </c>
      <c r="B72" s="7">
        <v>781254</v>
      </c>
      <c r="C72" s="7">
        <v>257813.82</v>
      </c>
      <c r="D72" s="7">
        <v>97969.251600000003</v>
      </c>
      <c r="E72" s="9">
        <v>3207.7396643095567</v>
      </c>
      <c r="F72" s="9">
        <v>1894.3440197947648</v>
      </c>
      <c r="G72" s="7">
        <v>6386717.1431497689</v>
      </c>
      <c r="H72" s="7">
        <v>4967620.8543180553</v>
      </c>
      <c r="I72" s="7">
        <v>-551.71345524677326</v>
      </c>
      <c r="J72" s="7">
        <v>-259.21954598624853</v>
      </c>
      <c r="K72" s="7">
        <v>-4030.4550108576277</v>
      </c>
      <c r="L72" s="7">
        <v>-3107.6092706785698</v>
      </c>
      <c r="M72" s="7">
        <v>0</v>
      </c>
      <c r="N72" s="7">
        <v>0</v>
      </c>
      <c r="O72" s="7">
        <v>-448.22014852645685</v>
      </c>
      <c r="P72" s="7">
        <v>-322.59693173411119</v>
      </c>
      <c r="Q72" s="7">
        <v>-4482.2014852645698</v>
      </c>
      <c r="R72" s="7">
        <v>-3225.9693173411124</v>
      </c>
      <c r="S72" s="7">
        <v>12212168.861236194</v>
      </c>
      <c r="T72" s="7">
        <v>9415971.4141541421</v>
      </c>
      <c r="U72" s="7">
        <v>-264.69876006729442</v>
      </c>
      <c r="V72" s="7">
        <v>-204.09118040179101</v>
      </c>
      <c r="W72" s="7">
        <v>-2646.9876006729451</v>
      </c>
      <c r="X72" s="7">
        <v>-2040.9118040179105</v>
      </c>
    </row>
    <row r="73" spans="1:24">
      <c r="A73" s="6">
        <v>2091</v>
      </c>
      <c r="B73" s="7">
        <v>781254</v>
      </c>
      <c r="C73" s="7">
        <v>257813.82</v>
      </c>
      <c r="D73" s="7">
        <v>97969.251600000003</v>
      </c>
      <c r="E73" s="9">
        <v>2899.6828236577639</v>
      </c>
      <c r="F73" s="9">
        <v>1781.7761519381775</v>
      </c>
      <c r="G73" s="7">
        <v>6028353.3869972639</v>
      </c>
      <c r="H73" s="7">
        <v>4770590.8911103383</v>
      </c>
      <c r="I73" s="7">
        <v>-357.75191032502681</v>
      </c>
      <c r="J73" s="7">
        <v>-156.51661472986513</v>
      </c>
      <c r="K73" s="7">
        <v>-3959.6288645678173</v>
      </c>
      <c r="L73" s="7">
        <v>-3067.6725494551524</v>
      </c>
      <c r="M73" s="7">
        <v>0</v>
      </c>
      <c r="N73" s="7">
        <v>0</v>
      </c>
      <c r="O73" s="7">
        <v>-424.31554032773158</v>
      </c>
      <c r="P73" s="7">
        <v>-309.82211535336432</v>
      </c>
      <c r="Q73" s="7">
        <v>-4243.1554032773165</v>
      </c>
      <c r="R73" s="7">
        <v>-3098.2211535336437</v>
      </c>
      <c r="S73" s="7">
        <v>11997567.567845814</v>
      </c>
      <c r="T73" s="7">
        <v>9294964.2370412257</v>
      </c>
      <c r="U73" s="7">
        <v>-260.04727703305792</v>
      </c>
      <c r="V73" s="7">
        <v>-201.46834983786854</v>
      </c>
      <c r="W73" s="7">
        <v>-2600.4727703305798</v>
      </c>
      <c r="X73" s="7">
        <v>-2014.6834983786857</v>
      </c>
    </row>
    <row r="74" spans="1:24">
      <c r="A74" s="6">
        <v>2092</v>
      </c>
      <c r="B74" s="7">
        <v>781254</v>
      </c>
      <c r="C74" s="7">
        <v>257813.82</v>
      </c>
      <c r="D74" s="7">
        <v>97969.251600000003</v>
      </c>
      <c r="E74" s="9">
        <v>4285.0901937449034</v>
      </c>
      <c r="F74" s="9">
        <v>2635.0824500988665</v>
      </c>
      <c r="G74" s="7">
        <v>7505481.2207213519</v>
      </c>
      <c r="H74" s="7">
        <v>5533526.4974779692</v>
      </c>
      <c r="I74" s="7">
        <v>-1051.8014936318368</v>
      </c>
      <c r="J74" s="7">
        <v>-581.47885855782692</v>
      </c>
      <c r="K74" s="7">
        <v>-4303.4165625864725</v>
      </c>
      <c r="L74" s="7">
        <v>-3245.2350778676164</v>
      </c>
      <c r="M74" s="7">
        <v>0</v>
      </c>
      <c r="N74" s="7">
        <v>0</v>
      </c>
      <c r="O74" s="7">
        <v>-516.63041516554688</v>
      </c>
      <c r="P74" s="7">
        <v>-366.14535882032379</v>
      </c>
      <c r="Q74" s="7">
        <v>-5166.3041516554695</v>
      </c>
      <c r="R74" s="7">
        <v>-3661.4535882032387</v>
      </c>
      <c r="S74" s="7">
        <v>13039234.92533013</v>
      </c>
      <c r="T74" s="7">
        <v>9832973.8599149585</v>
      </c>
      <c r="U74" s="7">
        <v>-282.62541700653054</v>
      </c>
      <c r="V74" s="7">
        <v>-213.12970841365669</v>
      </c>
      <c r="W74" s="7">
        <v>-2826.2541700653055</v>
      </c>
      <c r="X74" s="7">
        <v>-2131.2970841365677</v>
      </c>
    </row>
    <row r="75" spans="1:24">
      <c r="A75" s="6">
        <v>2093</v>
      </c>
      <c r="B75" s="7">
        <v>781254</v>
      </c>
      <c r="C75" s="7">
        <v>257813.82</v>
      </c>
      <c r="D75" s="7">
        <v>97969.251600000003</v>
      </c>
      <c r="E75" s="9">
        <v>4699.5408196047774</v>
      </c>
      <c r="F75" s="9">
        <v>2913.9254310961878</v>
      </c>
      <c r="G75" s="7">
        <v>7910585.4253940051</v>
      </c>
      <c r="H75" s="7">
        <v>6070601.1592378849</v>
      </c>
      <c r="I75" s="7">
        <v>-1193.4851210410154</v>
      </c>
      <c r="J75" s="7">
        <v>-698.60311784646069</v>
      </c>
      <c r="K75" s="7">
        <v>-4417.1165977051442</v>
      </c>
      <c r="L75" s="7">
        <v>-3378.239208900311</v>
      </c>
      <c r="M75" s="7">
        <v>0</v>
      </c>
      <c r="N75" s="7">
        <v>0</v>
      </c>
      <c r="O75" s="7">
        <v>-538.42654805144105</v>
      </c>
      <c r="P75" s="7">
        <v>-383.28713366769801</v>
      </c>
      <c r="Q75" s="7">
        <v>-5384.265480514412</v>
      </c>
      <c r="R75" s="7">
        <v>-3832.8713366769812</v>
      </c>
      <c r="S75" s="7">
        <v>13383742.933646107</v>
      </c>
      <c r="T75" s="7">
        <v>10235972.752853259</v>
      </c>
      <c r="U75" s="7">
        <v>-290.09262808677931</v>
      </c>
      <c r="V75" s="7">
        <v>-221.86470941809438</v>
      </c>
      <c r="W75" s="7">
        <v>-2900.926280867794</v>
      </c>
      <c r="X75" s="7">
        <v>-2218.6470941809439</v>
      </c>
    </row>
    <row r="76" spans="1:24">
      <c r="A76" s="6">
        <v>2094</v>
      </c>
      <c r="B76" s="7">
        <v>781254</v>
      </c>
      <c r="C76" s="7">
        <v>257813.82</v>
      </c>
      <c r="D76" s="7">
        <v>97969.251600000003</v>
      </c>
      <c r="E76" s="9">
        <v>3168.7607441096943</v>
      </c>
      <c r="F76" s="9">
        <v>2061.2807374538038</v>
      </c>
      <c r="G76" s="7">
        <v>6244660.0279626511</v>
      </c>
      <c r="H76" s="7">
        <v>5071815.588050209</v>
      </c>
      <c r="I76" s="7">
        <v>-304.03959915831376</v>
      </c>
      <c r="J76" s="7">
        <v>-160.99005593083768</v>
      </c>
      <c r="K76" s="7">
        <v>-4061.0621164980412</v>
      </c>
      <c r="L76" s="7">
        <v>-3164.3162390672028</v>
      </c>
      <c r="M76" s="7">
        <v>0</v>
      </c>
      <c r="N76" s="7">
        <v>0</v>
      </c>
      <c r="O76" s="7">
        <v>-425.01841645700381</v>
      </c>
      <c r="P76" s="7">
        <v>-314.66259131813888</v>
      </c>
      <c r="Q76" s="7">
        <v>-4250.1841645700388</v>
      </c>
      <c r="R76" s="7">
        <v>-3146.6259131813895</v>
      </c>
      <c r="S76" s="7">
        <v>12304907.557345565</v>
      </c>
      <c r="T76" s="7">
        <v>9587791.9832226988</v>
      </c>
      <c r="U76" s="7">
        <v>-266.70887130546504</v>
      </c>
      <c r="V76" s="7">
        <v>-207.81539123635196</v>
      </c>
      <c r="W76" s="7">
        <v>-2667.0887130546516</v>
      </c>
      <c r="X76" s="7">
        <v>-2078.1539123635198</v>
      </c>
    </row>
    <row r="77" spans="1:24">
      <c r="A77" s="6">
        <v>2095</v>
      </c>
      <c r="B77" s="7">
        <v>781254</v>
      </c>
      <c r="C77" s="7">
        <v>257813.82</v>
      </c>
      <c r="D77" s="7">
        <v>97969.251600000003</v>
      </c>
      <c r="E77" s="9">
        <v>3577.6873787359655</v>
      </c>
      <c r="F77" s="9">
        <v>2160.7010520364774</v>
      </c>
      <c r="G77" s="7">
        <v>6721871.8630368635</v>
      </c>
      <c r="H77" s="7">
        <v>5278361.7933438234</v>
      </c>
      <c r="I77" s="7">
        <v>-463.5310536797308</v>
      </c>
      <c r="J77" s="7">
        <v>-201.37140591825482</v>
      </c>
      <c r="K77" s="7">
        <v>-4175.0803229746753</v>
      </c>
      <c r="L77" s="7">
        <v>-3213.843193413034</v>
      </c>
      <c r="M77" s="7">
        <v>0</v>
      </c>
      <c r="N77" s="7">
        <v>0</v>
      </c>
      <c r="O77" s="7">
        <v>-446.85335279616856</v>
      </c>
      <c r="P77" s="7">
        <v>-320.41439459018517</v>
      </c>
      <c r="Q77" s="7">
        <v>-4468.5335279616866</v>
      </c>
      <c r="R77" s="7">
        <v>-3204.1439459018525</v>
      </c>
      <c r="S77" s="7">
        <v>12650379.616206644</v>
      </c>
      <c r="T77" s="7">
        <v>9737857.3053822722</v>
      </c>
      <c r="U77" s="7">
        <v>-274.19697818127889</v>
      </c>
      <c r="V77" s="7">
        <v>-211.06805709416071</v>
      </c>
      <c r="W77" s="7">
        <v>-2741.9697818127897</v>
      </c>
      <c r="X77" s="7">
        <v>-2110.6805709416076</v>
      </c>
    </row>
    <row r="78" spans="1:24">
      <c r="A78" s="6">
        <v>2096</v>
      </c>
      <c r="B78" s="7">
        <v>781254</v>
      </c>
      <c r="C78" s="7">
        <v>257813.82</v>
      </c>
      <c r="D78" s="7">
        <v>97969.251600000003</v>
      </c>
      <c r="E78" s="9">
        <v>4174.4480564164787</v>
      </c>
      <c r="F78" s="9">
        <v>2675.2523812859063</v>
      </c>
      <c r="G78" s="7">
        <v>7179967.1480373442</v>
      </c>
      <c r="H78" s="7">
        <v>5645975.53089099</v>
      </c>
      <c r="I78" s="7">
        <v>-839.76984919702102</v>
      </c>
      <c r="J78" s="7">
        <v>-513.16492118533949</v>
      </c>
      <c r="K78" s="7">
        <v>-4290.6017014481868</v>
      </c>
      <c r="L78" s="7">
        <v>-3303.0807975047551</v>
      </c>
      <c r="M78" s="7">
        <v>0</v>
      </c>
      <c r="N78" s="7">
        <v>0</v>
      </c>
      <c r="O78" s="7">
        <v>-497.69820246650232</v>
      </c>
      <c r="P78" s="7">
        <v>-361.99870301408481</v>
      </c>
      <c r="Q78" s="7">
        <v>-4976.9820246650243</v>
      </c>
      <c r="R78" s="7">
        <v>-3619.9870301408487</v>
      </c>
      <c r="S78" s="7">
        <v>13000406.245259903</v>
      </c>
      <c r="T78" s="7">
        <v>10008244.81423784</v>
      </c>
      <c r="U78" s="7">
        <v>-281.78380536600838</v>
      </c>
      <c r="V78" s="7">
        <v>-216.92870634860517</v>
      </c>
      <c r="W78" s="7">
        <v>-2817.8380536600839</v>
      </c>
      <c r="X78" s="7">
        <v>-2169.2870634860519</v>
      </c>
    </row>
    <row r="79" spans="1:24">
      <c r="A79" s="6">
        <v>2097</v>
      </c>
      <c r="B79" s="7">
        <v>781254</v>
      </c>
      <c r="C79" s="7">
        <v>257813.82</v>
      </c>
      <c r="D79" s="7">
        <v>97969.251600000003</v>
      </c>
      <c r="E79" s="9">
        <v>4177.6580318581318</v>
      </c>
      <c r="F79" s="9">
        <v>2760.5233441578316</v>
      </c>
      <c r="G79" s="7">
        <v>7058054.5615343638</v>
      </c>
      <c r="H79" s="7">
        <v>5522659.4278270965</v>
      </c>
      <c r="I79" s="7">
        <v>-778.26909423442248</v>
      </c>
      <c r="J79" s="7">
        <v>-487.71404890262829</v>
      </c>
      <c r="K79" s="7">
        <v>-4280.1663207322335</v>
      </c>
      <c r="L79" s="7">
        <v>-3285.916237329774</v>
      </c>
      <c r="M79" s="7">
        <v>0</v>
      </c>
      <c r="N79" s="7">
        <v>0</v>
      </c>
      <c r="O79" s="7">
        <v>-492.12187496517095</v>
      </c>
      <c r="P79" s="7">
        <v>-360.18206687081926</v>
      </c>
      <c r="Q79" s="7">
        <v>-4921.2187496517108</v>
      </c>
      <c r="R79" s="7">
        <v>-3601.8206687081934</v>
      </c>
      <c r="S79" s="7">
        <v>12968787.326033361</v>
      </c>
      <c r="T79" s="7">
        <v>9956236.6646068357</v>
      </c>
      <c r="U79" s="7">
        <v>-281.09846529177304</v>
      </c>
      <c r="V79" s="7">
        <v>-215.80142970535312</v>
      </c>
      <c r="W79" s="7">
        <v>-2810.9846529177312</v>
      </c>
      <c r="X79" s="7">
        <v>-2158.0142970535312</v>
      </c>
    </row>
    <row r="80" spans="1:24">
      <c r="A80" s="6">
        <v>2098</v>
      </c>
      <c r="B80" s="7">
        <v>781254</v>
      </c>
      <c r="C80" s="7">
        <v>257813.82</v>
      </c>
      <c r="D80" s="7">
        <v>97969.251600000003</v>
      </c>
      <c r="E80" s="9">
        <v>3894.8215276180422</v>
      </c>
      <c r="F80" s="9">
        <v>2754.6425753711646</v>
      </c>
      <c r="G80" s="7">
        <v>6740005.5682435948</v>
      </c>
      <c r="H80" s="7">
        <v>5136212.4517843835</v>
      </c>
      <c r="I80" s="7">
        <v>-629.09865111782472</v>
      </c>
      <c r="J80" s="7">
        <v>-449.31516772773205</v>
      </c>
      <c r="K80" s="7">
        <v>-4223.7427815393421</v>
      </c>
      <c r="L80" s="7">
        <v>-3209.4004643124076</v>
      </c>
      <c r="M80" s="7">
        <v>0</v>
      </c>
      <c r="N80" s="7">
        <v>0</v>
      </c>
      <c r="O80" s="7">
        <v>-474.82217987989117</v>
      </c>
      <c r="P80" s="7">
        <v>-356.5831690215756</v>
      </c>
      <c r="Q80" s="7">
        <v>-4748.2217987989125</v>
      </c>
      <c r="R80" s="7">
        <v>-3565.8316902157567</v>
      </c>
      <c r="S80" s="7">
        <v>12797825.539705036</v>
      </c>
      <c r="T80" s="7">
        <v>9724395.9572626632</v>
      </c>
      <c r="U80" s="7">
        <v>-277.39286857310663</v>
      </c>
      <c r="V80" s="7">
        <v>-210.77628237366818</v>
      </c>
      <c r="W80" s="7">
        <v>-2773.9286857310667</v>
      </c>
      <c r="X80" s="7">
        <v>-2107.7628237366821</v>
      </c>
    </row>
    <row r="81" spans="1:24">
      <c r="A81" s="6">
        <v>2099</v>
      </c>
      <c r="B81" s="7">
        <v>781254</v>
      </c>
      <c r="C81" s="7">
        <v>257813.82</v>
      </c>
      <c r="D81" s="7">
        <v>97969.251600000003</v>
      </c>
      <c r="E81" s="9">
        <v>2536.5043895200015</v>
      </c>
      <c r="F81" s="9">
        <v>1454.2551026181141</v>
      </c>
      <c r="G81" s="7">
        <v>5485454.6530667953</v>
      </c>
      <c r="H81" s="7">
        <v>4187931.9569449327</v>
      </c>
      <c r="I81" s="7">
        <v>89.666685693816646</v>
      </c>
      <c r="J81" s="7">
        <v>295.67992961600555</v>
      </c>
      <c r="K81" s="7">
        <v>-3949.2075259663311</v>
      </c>
      <c r="L81" s="7">
        <v>-2999.2057411945852</v>
      </c>
      <c r="M81" s="7">
        <v>0</v>
      </c>
      <c r="N81" s="7">
        <v>0</v>
      </c>
      <c r="O81" s="7">
        <v>-382.12946493280305</v>
      </c>
      <c r="P81" s="7">
        <v>-259.91100848691548</v>
      </c>
      <c r="Q81" s="7">
        <v>-3821.2946493280315</v>
      </c>
      <c r="R81" s="7">
        <v>-2599.1100848691553</v>
      </c>
      <c r="S81" s="7">
        <v>11965991.19584349</v>
      </c>
      <c r="T81" s="7">
        <v>9087511.6735923141</v>
      </c>
      <c r="U81" s="7">
        <v>-259.36285916990761</v>
      </c>
      <c r="V81" s="7">
        <v>-196.97181552511339</v>
      </c>
      <c r="W81" s="7">
        <v>-2593.6285916990764</v>
      </c>
      <c r="X81" s="7">
        <v>-1969.718155251134</v>
      </c>
    </row>
    <row r="82" spans="1:24">
      <c r="A82" s="6">
        <v>2100</v>
      </c>
      <c r="B82" s="7">
        <v>781254</v>
      </c>
      <c r="C82" s="7">
        <v>257813.82</v>
      </c>
      <c r="D82" s="7">
        <v>97969.251600000003</v>
      </c>
      <c r="E82" s="9">
        <v>1741.2487322244726</v>
      </c>
      <c r="F82" s="9">
        <v>663.60433393581877</v>
      </c>
      <c r="G82" s="7">
        <v>4794318.7894771863</v>
      </c>
      <c r="H82" s="7">
        <v>3333743.2706308682</v>
      </c>
      <c r="I82" s="7">
        <v>568.9875893707183</v>
      </c>
      <c r="J82" s="7">
        <v>823.77523693110572</v>
      </c>
      <c r="K82" s="7">
        <v>-3787.4767583829348</v>
      </c>
      <c r="L82" s="7">
        <v>-2796.3820749761871</v>
      </c>
      <c r="M82" s="7">
        <v>0</v>
      </c>
      <c r="N82" s="7">
        <v>0</v>
      </c>
      <c r="O82" s="7">
        <v>-318.71414871665422</v>
      </c>
      <c r="P82" s="7">
        <v>-189.47037275008017</v>
      </c>
      <c r="Q82" s="7">
        <v>-3187.1414871665429</v>
      </c>
      <c r="R82" s="7">
        <v>-1894.7037275008022</v>
      </c>
      <c r="S82" s="7">
        <v>11475951.376898702</v>
      </c>
      <c r="T82" s="7">
        <v>8472961.4914809801</v>
      </c>
      <c r="U82" s="7">
        <v>-248.74124609427935</v>
      </c>
      <c r="V82" s="7">
        <v>-183.6514403278502</v>
      </c>
      <c r="W82" s="7">
        <v>-2487.412460942794</v>
      </c>
      <c r="X82" s="7">
        <v>-1836.5144032785024</v>
      </c>
    </row>
    <row r="83" spans="1:24">
      <c r="G83" s="7"/>
      <c r="H83" s="7"/>
      <c r="I83" s="7"/>
      <c r="J83" s="7"/>
    </row>
    <row r="84" spans="1:24"/>
    <row r="85" spans="1:24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70A7D-6154-46B5-BE12-DA2643C3FE45}">
  <dimension ref="A1:BE86"/>
  <sheetViews>
    <sheetView workbookViewId="0">
      <pane xSplit="1" ySplit="7" topLeftCell="F8" activePane="bottomRight" state="frozen"/>
      <selection pane="bottomRight" activeCell="K26" sqref="K26"/>
      <selection pane="bottomLeft" activeCell="A6" sqref="A6"/>
      <selection pane="topRight" activeCell="B1" sqref="B1"/>
    </sheetView>
  </sheetViews>
  <sheetFormatPr defaultRowHeight="15" customHeight="1"/>
  <cols>
    <col min="1" max="1" width="12.140625" style="6" bestFit="1" customWidth="1"/>
    <col min="2" max="2" width="10" style="6" customWidth="1"/>
    <col min="3" max="6" width="8.7109375" style="6"/>
    <col min="7" max="14" width="8.7109375" style="10"/>
    <col min="15" max="15" width="10.85546875" bestFit="1" customWidth="1"/>
    <col min="23" max="24" width="8.85546875" bestFit="1" customWidth="1"/>
    <col min="25" max="30" width="8.85546875" customWidth="1"/>
    <col min="31" max="32" width="8.85546875" bestFit="1" customWidth="1"/>
    <col min="33" max="38" width="8.85546875" customWidth="1"/>
    <col min="39" max="40" width="9.7109375" bestFit="1" customWidth="1"/>
    <col min="41" max="42" width="9.7109375" customWidth="1"/>
    <col min="43" max="44" width="8.85546875" bestFit="1" customWidth="1"/>
  </cols>
  <sheetData>
    <row r="1" spans="1:57" ht="15" customHeight="1">
      <c r="A1" s="11" t="s">
        <v>0</v>
      </c>
      <c r="B1" s="11" t="s">
        <v>1</v>
      </c>
      <c r="C1" s="11" t="s">
        <v>2</v>
      </c>
      <c r="D1" s="11" t="s">
        <v>2</v>
      </c>
      <c r="E1" s="11" t="s">
        <v>3</v>
      </c>
      <c r="F1" s="11" t="s">
        <v>3</v>
      </c>
      <c r="G1" s="12" t="s">
        <v>4</v>
      </c>
      <c r="H1" s="12" t="s">
        <v>4</v>
      </c>
      <c r="I1" s="12" t="s">
        <v>4</v>
      </c>
      <c r="J1" s="12" t="s">
        <v>4</v>
      </c>
      <c r="K1" s="12" t="s">
        <v>4</v>
      </c>
      <c r="L1" s="12" t="s">
        <v>4</v>
      </c>
      <c r="M1" s="12" t="s">
        <v>4</v>
      </c>
      <c r="N1" s="12" t="s">
        <v>4</v>
      </c>
      <c r="O1" s="11" t="s">
        <v>5</v>
      </c>
      <c r="P1" s="11" t="s">
        <v>5</v>
      </c>
      <c r="Q1" s="11" t="s">
        <v>5</v>
      </c>
      <c r="R1" s="11" t="s">
        <v>5</v>
      </c>
      <c r="S1" s="12" t="s">
        <v>6</v>
      </c>
      <c r="T1" s="12" t="s">
        <v>6</v>
      </c>
      <c r="U1" s="12" t="s">
        <v>6</v>
      </c>
      <c r="V1" s="12" t="s">
        <v>6</v>
      </c>
      <c r="W1" s="12" t="s">
        <v>7</v>
      </c>
      <c r="X1" s="12" t="s">
        <v>7</v>
      </c>
      <c r="Y1" s="12" t="s">
        <v>7</v>
      </c>
      <c r="Z1" s="12" t="s">
        <v>7</v>
      </c>
      <c r="AA1" s="12" t="s">
        <v>7</v>
      </c>
      <c r="AB1" s="12" t="s">
        <v>7</v>
      </c>
      <c r="AC1" s="12" t="s">
        <v>7</v>
      </c>
      <c r="AD1" s="12" t="s">
        <v>7</v>
      </c>
      <c r="AE1" s="11" t="s">
        <v>8</v>
      </c>
      <c r="AF1" s="11" t="s">
        <v>8</v>
      </c>
      <c r="AG1" s="11" t="s">
        <v>8</v>
      </c>
      <c r="AH1" s="11" t="s">
        <v>8</v>
      </c>
      <c r="AI1" s="11" t="s">
        <v>8</v>
      </c>
      <c r="AJ1" s="11" t="s">
        <v>8</v>
      </c>
      <c r="AK1" s="11" t="s">
        <v>8</v>
      </c>
      <c r="AL1" s="11" t="s">
        <v>8</v>
      </c>
      <c r="AM1" s="11" t="s">
        <v>9</v>
      </c>
      <c r="AN1" s="11" t="s">
        <v>9</v>
      </c>
      <c r="AO1" s="11" t="s">
        <v>9</v>
      </c>
      <c r="AP1" s="11" t="s">
        <v>9</v>
      </c>
      <c r="AQ1" s="11" t="s">
        <v>10</v>
      </c>
      <c r="AR1" s="11" t="s">
        <v>10</v>
      </c>
      <c r="AS1" s="11" t="s">
        <v>10</v>
      </c>
      <c r="AT1" s="11" t="s">
        <v>10</v>
      </c>
      <c r="AU1" s="11" t="s">
        <v>10</v>
      </c>
      <c r="AV1" s="11" t="s">
        <v>10</v>
      </c>
      <c r="AW1" s="11" t="s">
        <v>10</v>
      </c>
      <c r="AX1" s="11" t="s">
        <v>10</v>
      </c>
    </row>
    <row r="2" spans="1:57" s="3" customFormat="1">
      <c r="A2" s="3" t="s">
        <v>16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4" t="s">
        <v>18</v>
      </c>
      <c r="H2" s="4" t="s">
        <v>19</v>
      </c>
      <c r="I2" s="4" t="s">
        <v>18</v>
      </c>
      <c r="J2" s="4" t="s">
        <v>19</v>
      </c>
      <c r="K2" s="4" t="s">
        <v>18</v>
      </c>
      <c r="L2" s="4" t="s">
        <v>19</v>
      </c>
      <c r="M2" s="4" t="s">
        <v>18</v>
      </c>
      <c r="N2" s="4" t="s">
        <v>19</v>
      </c>
      <c r="O2" s="4" t="s">
        <v>18</v>
      </c>
      <c r="P2" s="4" t="s">
        <v>19</v>
      </c>
      <c r="Q2" s="4" t="s">
        <v>18</v>
      </c>
      <c r="R2" s="4" t="s">
        <v>19</v>
      </c>
      <c r="S2" s="3" t="s">
        <v>18</v>
      </c>
      <c r="T2" s="3" t="s">
        <v>19</v>
      </c>
      <c r="U2" s="3" t="s">
        <v>18</v>
      </c>
      <c r="V2" s="3" t="s">
        <v>19</v>
      </c>
      <c r="W2" s="3" t="s">
        <v>18</v>
      </c>
      <c r="X2" s="3" t="s">
        <v>19</v>
      </c>
      <c r="Y2" s="3" t="s">
        <v>18</v>
      </c>
      <c r="Z2" s="3" t="s">
        <v>19</v>
      </c>
      <c r="AA2" s="3" t="s">
        <v>18</v>
      </c>
      <c r="AB2" s="3" t="s">
        <v>19</v>
      </c>
      <c r="AC2" s="3" t="s">
        <v>18</v>
      </c>
      <c r="AD2" s="3" t="s">
        <v>19</v>
      </c>
      <c r="AE2" s="3" t="s">
        <v>18</v>
      </c>
      <c r="AF2" s="3" t="s">
        <v>19</v>
      </c>
      <c r="AG2" s="3" t="s">
        <v>18</v>
      </c>
      <c r="AH2" s="3" t="s">
        <v>19</v>
      </c>
      <c r="AI2" s="3" t="s">
        <v>18</v>
      </c>
      <c r="AJ2" s="3" t="s">
        <v>19</v>
      </c>
      <c r="AK2" s="3" t="s">
        <v>18</v>
      </c>
      <c r="AL2" s="3" t="s">
        <v>19</v>
      </c>
      <c r="AM2" s="3" t="s">
        <v>18</v>
      </c>
      <c r="AN2" s="3" t="s">
        <v>19</v>
      </c>
      <c r="AO2" s="3" t="s">
        <v>18</v>
      </c>
      <c r="AP2" s="3" t="s">
        <v>19</v>
      </c>
      <c r="AQ2" s="3" t="s">
        <v>18</v>
      </c>
      <c r="AR2" s="3" t="s">
        <v>19</v>
      </c>
      <c r="AS2" s="3" t="s">
        <v>18</v>
      </c>
      <c r="AT2" s="3" t="s">
        <v>19</v>
      </c>
      <c r="AU2" s="3" t="s">
        <v>18</v>
      </c>
      <c r="AV2" s="3" t="s">
        <v>19</v>
      </c>
      <c r="AW2" s="3" t="s">
        <v>18</v>
      </c>
      <c r="AX2" s="3" t="s">
        <v>19</v>
      </c>
    </row>
    <row r="3" spans="1:57" s="3" customFormat="1">
      <c r="A3" s="3" t="s">
        <v>20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  <c r="N3" s="3" t="s">
        <v>17</v>
      </c>
      <c r="O3" s="3" t="s">
        <v>17</v>
      </c>
      <c r="P3" s="3" t="s">
        <v>17</v>
      </c>
      <c r="Q3" s="3" t="s">
        <v>17</v>
      </c>
      <c r="R3" s="3" t="s">
        <v>17</v>
      </c>
      <c r="S3" s="3" t="s">
        <v>17</v>
      </c>
      <c r="T3" s="3" t="s">
        <v>17</v>
      </c>
      <c r="U3" s="3" t="s">
        <v>17</v>
      </c>
      <c r="V3" s="3" t="s">
        <v>17</v>
      </c>
      <c r="W3" s="3" t="s">
        <v>21</v>
      </c>
      <c r="X3" s="3" t="s">
        <v>21</v>
      </c>
      <c r="Y3" s="3" t="s">
        <v>21</v>
      </c>
      <c r="Z3" s="3" t="s">
        <v>21</v>
      </c>
      <c r="AA3" s="3" t="s">
        <v>22</v>
      </c>
      <c r="AB3" s="3" t="s">
        <v>22</v>
      </c>
      <c r="AC3" s="3" t="s">
        <v>22</v>
      </c>
      <c r="AD3" s="3" t="s">
        <v>22</v>
      </c>
      <c r="AE3" s="3" t="s">
        <v>21</v>
      </c>
      <c r="AF3" s="3" t="s">
        <v>21</v>
      </c>
      <c r="AG3" s="3" t="s">
        <v>21</v>
      </c>
      <c r="AH3" s="3" t="s">
        <v>21</v>
      </c>
      <c r="AI3" s="3" t="s">
        <v>22</v>
      </c>
      <c r="AJ3" s="3" t="s">
        <v>22</v>
      </c>
      <c r="AK3" s="3" t="s">
        <v>22</v>
      </c>
      <c r="AL3" s="3" t="s">
        <v>22</v>
      </c>
      <c r="AM3" s="3" t="s">
        <v>17</v>
      </c>
      <c r="AN3" s="3" t="s">
        <v>17</v>
      </c>
      <c r="AO3" s="3" t="s">
        <v>17</v>
      </c>
      <c r="AP3" s="3" t="s">
        <v>17</v>
      </c>
      <c r="AQ3" s="3" t="s">
        <v>21</v>
      </c>
      <c r="AR3" s="3" t="s">
        <v>21</v>
      </c>
      <c r="AS3" s="3" t="s">
        <v>21</v>
      </c>
      <c r="AT3" s="3" t="s">
        <v>21</v>
      </c>
      <c r="AU3" s="3" t="s">
        <v>22</v>
      </c>
      <c r="AV3" s="3" t="s">
        <v>22</v>
      </c>
      <c r="AW3" s="3" t="s">
        <v>22</v>
      </c>
      <c r="AX3" s="3" t="s">
        <v>22</v>
      </c>
    </row>
    <row r="4" spans="1:57" s="3" customFormat="1">
      <c r="A4" s="3" t="s">
        <v>24</v>
      </c>
      <c r="B4" s="3" t="s">
        <v>17</v>
      </c>
      <c r="C4" s="3">
        <v>0.5</v>
      </c>
      <c r="D4" s="3">
        <v>0.3</v>
      </c>
      <c r="E4" s="3" t="s">
        <v>17</v>
      </c>
      <c r="F4" s="3" t="s">
        <v>17</v>
      </c>
      <c r="G4" s="3">
        <v>0.5</v>
      </c>
      <c r="H4" s="3">
        <v>0.5</v>
      </c>
      <c r="I4" s="3">
        <v>0.5</v>
      </c>
      <c r="J4" s="3">
        <v>0.5</v>
      </c>
      <c r="K4" s="3">
        <v>0.3</v>
      </c>
      <c r="L4" s="3">
        <v>0.3</v>
      </c>
      <c r="M4" s="3">
        <v>0.3</v>
      </c>
      <c r="N4" s="3">
        <v>0.3</v>
      </c>
      <c r="O4" s="3">
        <v>0.5</v>
      </c>
      <c r="P4" s="3">
        <v>0.5</v>
      </c>
      <c r="Q4" s="3">
        <v>0.3</v>
      </c>
      <c r="R4" s="3">
        <v>0.3</v>
      </c>
      <c r="S4" s="3">
        <v>0.5</v>
      </c>
      <c r="T4" s="3">
        <v>0.5</v>
      </c>
      <c r="U4" s="3">
        <v>0.3</v>
      </c>
      <c r="V4" s="3">
        <v>0.3</v>
      </c>
      <c r="W4" s="3">
        <v>0.5</v>
      </c>
      <c r="X4" s="3">
        <v>0.5</v>
      </c>
      <c r="Y4" s="3">
        <v>0.3</v>
      </c>
      <c r="Z4" s="3">
        <v>0.3</v>
      </c>
      <c r="AA4" s="3">
        <v>0.5</v>
      </c>
      <c r="AB4" s="3">
        <v>0.5</v>
      </c>
      <c r="AC4" s="3">
        <v>0.3</v>
      </c>
      <c r="AD4" s="3">
        <v>0.3</v>
      </c>
      <c r="AE4" s="3">
        <v>0.5</v>
      </c>
      <c r="AF4" s="3">
        <v>0.5</v>
      </c>
      <c r="AG4" s="3">
        <v>0.3</v>
      </c>
      <c r="AH4" s="3">
        <v>0.3</v>
      </c>
      <c r="AI4" s="3">
        <v>0.5</v>
      </c>
      <c r="AJ4" s="3">
        <v>0.5</v>
      </c>
      <c r="AK4" s="3">
        <v>0.3</v>
      </c>
      <c r="AL4" s="3">
        <v>0.3</v>
      </c>
      <c r="AM4" s="3">
        <v>0.5</v>
      </c>
      <c r="AN4" s="3">
        <v>0.5</v>
      </c>
      <c r="AO4" s="3">
        <v>0.3</v>
      </c>
      <c r="AP4" s="3">
        <v>0.3</v>
      </c>
      <c r="AQ4" s="3">
        <v>0.5</v>
      </c>
      <c r="AR4" s="3">
        <v>0.5</v>
      </c>
      <c r="AS4" s="3">
        <v>0.3</v>
      </c>
      <c r="AT4" s="3">
        <v>0.3</v>
      </c>
      <c r="AU4" s="3">
        <v>0.5</v>
      </c>
      <c r="AV4" s="3">
        <v>0.5</v>
      </c>
      <c r="AW4" s="3">
        <v>0.3</v>
      </c>
      <c r="AX4" s="3">
        <v>0.3</v>
      </c>
    </row>
    <row r="5" spans="1:57" s="3" customFormat="1">
      <c r="A5" s="3" t="s">
        <v>25</v>
      </c>
      <c r="B5" s="3" t="s">
        <v>17</v>
      </c>
      <c r="C5" s="3" t="s">
        <v>17</v>
      </c>
      <c r="D5" s="3" t="s">
        <v>17</v>
      </c>
      <c r="E5" s="3">
        <v>0.15</v>
      </c>
      <c r="F5" s="5" t="s">
        <v>26</v>
      </c>
      <c r="G5" s="3">
        <v>0.15</v>
      </c>
      <c r="H5" s="3">
        <v>0.15</v>
      </c>
      <c r="I5" s="5" t="s">
        <v>26</v>
      </c>
      <c r="J5" s="5" t="s">
        <v>26</v>
      </c>
      <c r="K5" s="3">
        <v>0.15</v>
      </c>
      <c r="L5" s="3">
        <v>0.15</v>
      </c>
      <c r="M5" s="5" t="s">
        <v>26</v>
      </c>
      <c r="N5" s="5" t="s">
        <v>26</v>
      </c>
      <c r="O5" s="3" t="s">
        <v>17</v>
      </c>
      <c r="P5" s="3" t="s">
        <v>17</v>
      </c>
      <c r="Q5" s="3" t="s">
        <v>17</v>
      </c>
      <c r="R5" s="3" t="s">
        <v>17</v>
      </c>
      <c r="S5" s="3" t="s">
        <v>17</v>
      </c>
      <c r="T5" s="3" t="s">
        <v>17</v>
      </c>
      <c r="U5" s="3" t="s">
        <v>17</v>
      </c>
      <c r="V5" s="3" t="s">
        <v>17</v>
      </c>
      <c r="W5" s="3" t="s">
        <v>17</v>
      </c>
      <c r="X5" s="3" t="s">
        <v>17</v>
      </c>
      <c r="Y5" s="3" t="s">
        <v>17</v>
      </c>
      <c r="Z5" s="3" t="s">
        <v>17</v>
      </c>
      <c r="AA5" s="3" t="s">
        <v>17</v>
      </c>
      <c r="AB5" s="3" t="s">
        <v>17</v>
      </c>
      <c r="AC5" s="3" t="s">
        <v>17</v>
      </c>
      <c r="AD5" s="3" t="s">
        <v>17</v>
      </c>
      <c r="AE5" s="3" t="s">
        <v>17</v>
      </c>
      <c r="AF5" s="3" t="s">
        <v>17</v>
      </c>
      <c r="AG5" s="3" t="s">
        <v>17</v>
      </c>
      <c r="AH5" s="3" t="s">
        <v>17</v>
      </c>
      <c r="AI5" s="3" t="s">
        <v>17</v>
      </c>
      <c r="AJ5" s="3" t="s">
        <v>17</v>
      </c>
      <c r="AK5" s="3" t="s">
        <v>17</v>
      </c>
      <c r="AL5" s="3" t="s">
        <v>17</v>
      </c>
      <c r="AM5" s="3" t="s">
        <v>17</v>
      </c>
      <c r="AN5" s="3" t="s">
        <v>17</v>
      </c>
      <c r="AO5" s="3" t="s">
        <v>17</v>
      </c>
      <c r="AP5" s="3" t="s">
        <v>17</v>
      </c>
      <c r="AQ5" s="3" t="s">
        <v>17</v>
      </c>
      <c r="AR5" s="3" t="s">
        <v>17</v>
      </c>
      <c r="AS5" s="3" t="s">
        <v>17</v>
      </c>
      <c r="AT5" s="3" t="s">
        <v>17</v>
      </c>
      <c r="AU5" s="3" t="s">
        <v>17</v>
      </c>
      <c r="AV5" s="3" t="s">
        <v>17</v>
      </c>
      <c r="AW5" s="3" t="s">
        <v>17</v>
      </c>
      <c r="AX5" s="3" t="s">
        <v>17</v>
      </c>
    </row>
    <row r="6" spans="1:57" s="3" customFormat="1" ht="14.45" customHeight="1">
      <c r="A6" s="3" t="s">
        <v>11</v>
      </c>
      <c r="B6" s="1" t="s">
        <v>12</v>
      </c>
      <c r="C6" s="1" t="s">
        <v>12</v>
      </c>
      <c r="D6" s="1" t="s">
        <v>12</v>
      </c>
      <c r="E6" s="1" t="s">
        <v>12</v>
      </c>
      <c r="F6" s="1" t="s">
        <v>12</v>
      </c>
      <c r="G6" s="2" t="s">
        <v>13</v>
      </c>
      <c r="H6" s="2" t="s">
        <v>13</v>
      </c>
      <c r="I6" s="2" t="s">
        <v>13</v>
      </c>
      <c r="J6" s="2" t="s">
        <v>13</v>
      </c>
      <c r="K6" s="2" t="s">
        <v>13</v>
      </c>
      <c r="L6" s="2" t="s">
        <v>13</v>
      </c>
      <c r="M6" s="2" t="s">
        <v>13</v>
      </c>
      <c r="N6" s="2" t="s">
        <v>13</v>
      </c>
      <c r="O6" s="1" t="s">
        <v>14</v>
      </c>
      <c r="P6" s="1" t="s">
        <v>14</v>
      </c>
      <c r="Q6" s="1" t="s">
        <v>14</v>
      </c>
      <c r="R6" s="1" t="s">
        <v>14</v>
      </c>
      <c r="S6" s="2" t="s">
        <v>13</v>
      </c>
      <c r="T6" s="2" t="s">
        <v>13</v>
      </c>
      <c r="U6" s="2" t="s">
        <v>13</v>
      </c>
      <c r="V6" s="2" t="s">
        <v>13</v>
      </c>
      <c r="W6" s="2" t="s">
        <v>13</v>
      </c>
      <c r="X6" s="2" t="s">
        <v>13</v>
      </c>
      <c r="Y6" s="2" t="s">
        <v>13</v>
      </c>
      <c r="Z6" s="2" t="s">
        <v>13</v>
      </c>
      <c r="AA6" s="2" t="s">
        <v>13</v>
      </c>
      <c r="AB6" s="2" t="s">
        <v>13</v>
      </c>
      <c r="AC6" s="2" t="s">
        <v>13</v>
      </c>
      <c r="AD6" s="2" t="s">
        <v>13</v>
      </c>
      <c r="AE6" s="2" t="s">
        <v>13</v>
      </c>
      <c r="AF6" s="2" t="s">
        <v>13</v>
      </c>
      <c r="AG6" s="2" t="s">
        <v>13</v>
      </c>
      <c r="AH6" s="2" t="s">
        <v>13</v>
      </c>
      <c r="AI6" s="2" t="s">
        <v>13</v>
      </c>
      <c r="AJ6" s="2" t="s">
        <v>13</v>
      </c>
      <c r="AK6" s="2" t="s">
        <v>13</v>
      </c>
      <c r="AL6" s="2" t="s">
        <v>13</v>
      </c>
      <c r="AM6" s="1" t="s">
        <v>15</v>
      </c>
      <c r="AN6" s="1" t="s">
        <v>15</v>
      </c>
      <c r="AO6" s="1" t="s">
        <v>15</v>
      </c>
      <c r="AP6" s="1" t="s">
        <v>15</v>
      </c>
      <c r="AQ6" s="2" t="s">
        <v>13</v>
      </c>
      <c r="AR6" s="2" t="s">
        <v>13</v>
      </c>
      <c r="AS6" s="2" t="s">
        <v>13</v>
      </c>
      <c r="AT6" s="2" t="s">
        <v>13</v>
      </c>
      <c r="AU6" s="2" t="s">
        <v>13</v>
      </c>
      <c r="AV6" s="2" t="s">
        <v>13</v>
      </c>
      <c r="AW6" s="2" t="s">
        <v>13</v>
      </c>
      <c r="AX6" s="2" t="s">
        <v>13</v>
      </c>
    </row>
    <row r="7" spans="1:57" s="11" customFormat="1" ht="14.45" customHeight="1">
      <c r="A7" s="11" t="s">
        <v>23</v>
      </c>
    </row>
    <row r="8" spans="1:57">
      <c r="A8" s="6">
        <v>2024</v>
      </c>
      <c r="B8" s="7">
        <v>160</v>
      </c>
      <c r="C8" s="7">
        <v>80</v>
      </c>
      <c r="D8" s="7">
        <v>48</v>
      </c>
      <c r="E8" s="8">
        <v>24</v>
      </c>
      <c r="F8" s="8">
        <v>0</v>
      </c>
      <c r="G8" s="9">
        <v>-0.45576840569054744</v>
      </c>
      <c r="H8" s="9">
        <v>-0.45576840569054777</v>
      </c>
      <c r="I8" s="9">
        <v>-0.67904069076867246</v>
      </c>
      <c r="J8" s="9">
        <v>-0.67904069076867279</v>
      </c>
      <c r="K8" s="9">
        <v>-0.37445364922533086</v>
      </c>
      <c r="L8" s="9">
        <v>-0.37445364922533086</v>
      </c>
      <c r="M8" s="9">
        <v>-0.59772593430345589</v>
      </c>
      <c r="N8" s="9">
        <v>-0.59772593430345589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  <c r="AZ8" s="6"/>
      <c r="BA8" s="7"/>
      <c r="BB8" s="7"/>
      <c r="BC8" s="7"/>
      <c r="BD8" s="7"/>
      <c r="BE8" s="7"/>
    </row>
    <row r="9" spans="1:57">
      <c r="A9" s="6">
        <v>2025</v>
      </c>
      <c r="B9" s="7">
        <v>320</v>
      </c>
      <c r="C9" s="7">
        <v>160</v>
      </c>
      <c r="D9" s="7">
        <v>96</v>
      </c>
      <c r="E9" s="8">
        <v>48</v>
      </c>
      <c r="F9" s="8">
        <v>0</v>
      </c>
      <c r="G9" s="9">
        <v>-1.5454452241722945</v>
      </c>
      <c r="H9" s="9">
        <v>-1.5454452241722945</v>
      </c>
      <c r="I9" s="9">
        <v>-1.9859617377660446</v>
      </c>
      <c r="J9" s="9">
        <v>-1.9859617377660446</v>
      </c>
      <c r="K9" s="9">
        <v>-1.4334934178395002</v>
      </c>
      <c r="L9" s="9">
        <v>-1.4334934178395007</v>
      </c>
      <c r="M9" s="9">
        <v>-1.8740099314332503</v>
      </c>
      <c r="N9" s="9">
        <v>-1.8740099314332508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  <c r="AN9" s="7">
        <v>0</v>
      </c>
      <c r="AO9" s="7">
        <v>0</v>
      </c>
      <c r="AP9" s="7">
        <v>0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  <c r="AZ9" s="6"/>
      <c r="BA9" s="7"/>
      <c r="BB9" s="7"/>
      <c r="BC9" s="7"/>
      <c r="BD9" s="7"/>
      <c r="BE9" s="7"/>
    </row>
    <row r="10" spans="1:57">
      <c r="A10" s="6">
        <v>2026</v>
      </c>
      <c r="B10" s="7">
        <v>480</v>
      </c>
      <c r="C10" s="7">
        <v>240</v>
      </c>
      <c r="D10" s="7">
        <v>144</v>
      </c>
      <c r="E10" s="8">
        <v>72</v>
      </c>
      <c r="F10" s="8">
        <v>0</v>
      </c>
      <c r="G10" s="9">
        <v>-3.4637546733270552</v>
      </c>
      <c r="H10" s="9">
        <v>-3.4637546733270552</v>
      </c>
      <c r="I10" s="9">
        <v>-4.6127144426083051</v>
      </c>
      <c r="J10" s="9">
        <v>-4.6127144426083051</v>
      </c>
      <c r="K10" s="9">
        <v>-3.3063279687367357</v>
      </c>
      <c r="L10" s="9">
        <v>-3.3063279687367357</v>
      </c>
      <c r="M10" s="9">
        <v>-4.4552877380179856</v>
      </c>
      <c r="N10" s="9">
        <v>-4.4552877380179856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  <c r="AZ10" s="6"/>
      <c r="BA10" s="7"/>
      <c r="BB10" s="7"/>
      <c r="BC10" s="7"/>
      <c r="BD10" s="7"/>
      <c r="BE10" s="7"/>
    </row>
    <row r="11" spans="1:57">
      <c r="A11" s="6">
        <v>2027</v>
      </c>
      <c r="B11" s="7">
        <v>1120</v>
      </c>
      <c r="C11" s="7">
        <v>560</v>
      </c>
      <c r="D11" s="7">
        <v>336</v>
      </c>
      <c r="E11" s="8">
        <v>168</v>
      </c>
      <c r="F11" s="8">
        <v>0</v>
      </c>
      <c r="G11" s="9">
        <v>-6.660282146609191</v>
      </c>
      <c r="H11" s="9">
        <v>-6.660282146609191</v>
      </c>
      <c r="I11" s="9">
        <v>-8.5044234471404412</v>
      </c>
      <c r="J11" s="9">
        <v>-8.5044234471404412</v>
      </c>
      <c r="K11" s="9">
        <v>-6.5872001378698073</v>
      </c>
      <c r="L11" s="9">
        <v>-6.5872001378698073</v>
      </c>
      <c r="M11" s="9">
        <v>-8.4313414384010574</v>
      </c>
      <c r="N11" s="9">
        <v>-8.4313414384010574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  <c r="AZ11" s="6"/>
      <c r="BA11" s="7"/>
      <c r="BB11" s="7"/>
      <c r="BC11" s="7"/>
      <c r="BD11" s="7"/>
      <c r="BE11" s="7"/>
    </row>
    <row r="12" spans="1:57">
      <c r="A12" s="6">
        <v>2028</v>
      </c>
      <c r="B12" s="7">
        <v>1760</v>
      </c>
      <c r="C12" s="7">
        <v>880</v>
      </c>
      <c r="D12" s="7">
        <v>528</v>
      </c>
      <c r="E12" s="8">
        <v>264</v>
      </c>
      <c r="F12" s="8">
        <v>0</v>
      </c>
      <c r="G12" s="9">
        <v>-11.122362355082403</v>
      </c>
      <c r="H12" s="9">
        <v>-11.122362355082398</v>
      </c>
      <c r="I12" s="9">
        <v>-13.661685186863654</v>
      </c>
      <c r="J12" s="9">
        <v>-13.661685186863648</v>
      </c>
      <c r="K12" s="9">
        <v>-11.287735654449918</v>
      </c>
      <c r="L12" s="9">
        <v>-11.287735654449918</v>
      </c>
      <c r="M12" s="9">
        <v>-13.827058486231168</v>
      </c>
      <c r="N12" s="9">
        <v>-13.827058486231168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  <c r="AZ12" s="6"/>
      <c r="BA12" s="7"/>
      <c r="BB12" s="7"/>
      <c r="BC12" s="7"/>
      <c r="BD12" s="7"/>
      <c r="BE12" s="7"/>
    </row>
    <row r="13" spans="1:57">
      <c r="A13" s="6">
        <v>2029</v>
      </c>
      <c r="B13" s="7">
        <v>2400</v>
      </c>
      <c r="C13" s="7">
        <v>1200</v>
      </c>
      <c r="D13" s="7">
        <v>720</v>
      </c>
      <c r="E13" s="8">
        <v>360</v>
      </c>
      <c r="F13" s="8">
        <v>0</v>
      </c>
      <c r="G13" s="9">
        <v>-16.826432060868054</v>
      </c>
      <c r="H13" s="9">
        <v>-16.826432060868051</v>
      </c>
      <c r="I13" s="9">
        <v>-20.060936423899303</v>
      </c>
      <c r="J13" s="9">
        <v>-20.0609364238993</v>
      </c>
      <c r="K13" s="9">
        <v>-17.402097272505948</v>
      </c>
      <c r="L13" s="9">
        <v>-17.402097272505948</v>
      </c>
      <c r="M13" s="9">
        <v>-20.636601635537197</v>
      </c>
      <c r="N13" s="9">
        <v>-20.636601635537197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  <c r="AL13" s="7">
        <v>0</v>
      </c>
      <c r="AM13" s="7">
        <v>0</v>
      </c>
      <c r="AN13" s="7">
        <v>0</v>
      </c>
      <c r="AO13" s="7">
        <v>0</v>
      </c>
      <c r="AP13" s="7">
        <v>0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  <c r="AZ13" s="6"/>
      <c r="BA13" s="7"/>
      <c r="BB13" s="7"/>
      <c r="BC13" s="7"/>
      <c r="BD13" s="7"/>
      <c r="BE13" s="7"/>
    </row>
    <row r="14" spans="1:57">
      <c r="A14" s="6">
        <v>2030</v>
      </c>
      <c r="B14" s="7">
        <v>3040</v>
      </c>
      <c r="C14" s="7">
        <v>1520</v>
      </c>
      <c r="D14" s="7">
        <v>912</v>
      </c>
      <c r="E14" s="8">
        <v>456</v>
      </c>
      <c r="F14" s="8">
        <v>0</v>
      </c>
      <c r="G14" s="9">
        <v>-23.73393303203429</v>
      </c>
      <c r="H14" s="9">
        <v>-23.73393303203429</v>
      </c>
      <c r="I14" s="9">
        <v>-27.663618926315539</v>
      </c>
      <c r="J14" s="9">
        <v>-27.663618926315539</v>
      </c>
      <c r="K14" s="9">
        <v>-24.902462526664483</v>
      </c>
      <c r="L14" s="9">
        <v>-24.902462526664483</v>
      </c>
      <c r="M14" s="9">
        <v>-28.832148420945732</v>
      </c>
      <c r="N14" s="9">
        <v>-28.832148420945732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  <c r="AZ14" s="6"/>
      <c r="BA14" s="7"/>
      <c r="BB14" s="7"/>
      <c r="BC14" s="7"/>
      <c r="BD14" s="7"/>
      <c r="BE14" s="7"/>
    </row>
    <row r="15" spans="1:57">
      <c r="A15" s="6">
        <v>2031</v>
      </c>
      <c r="B15" s="7">
        <v>4040</v>
      </c>
      <c r="C15" s="7">
        <v>2020</v>
      </c>
      <c r="D15" s="7">
        <v>1212</v>
      </c>
      <c r="E15" s="8">
        <v>606</v>
      </c>
      <c r="F15" s="8">
        <v>0</v>
      </c>
      <c r="G15" s="9">
        <v>-31.404783066554558</v>
      </c>
      <c r="H15" s="9">
        <v>-31.404783066554558</v>
      </c>
      <c r="I15" s="9">
        <v>-36.029650492085807</v>
      </c>
      <c r="J15" s="9">
        <v>-36.029650492085807</v>
      </c>
      <c r="K15" s="9">
        <v>-33.215090295700662</v>
      </c>
      <c r="L15" s="9">
        <v>-33.215090295700662</v>
      </c>
      <c r="M15" s="9">
        <v>-37.839957721231912</v>
      </c>
      <c r="N15" s="9">
        <v>-37.839957721231912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  <c r="AZ15" s="6"/>
      <c r="BA15" s="7"/>
      <c r="BB15" s="7"/>
      <c r="BC15" s="7"/>
      <c r="BD15" s="7"/>
      <c r="BE15" s="7"/>
    </row>
    <row r="16" spans="1:57">
      <c r="A16" s="6">
        <v>2032</v>
      </c>
      <c r="B16" s="7">
        <v>5040</v>
      </c>
      <c r="C16" s="7">
        <v>2520</v>
      </c>
      <c r="D16" s="7">
        <v>1512</v>
      </c>
      <c r="E16" s="8">
        <v>756</v>
      </c>
      <c r="F16" s="8">
        <v>0</v>
      </c>
      <c r="G16" s="9">
        <v>-40.058362688359097</v>
      </c>
      <c r="H16" s="9">
        <v>-40.058362688359097</v>
      </c>
      <c r="I16" s="9">
        <v>-45.378411645140346</v>
      </c>
      <c r="J16" s="9">
        <v>-45.378411645140346</v>
      </c>
      <c r="K16" s="9">
        <v>-42.659905897712306</v>
      </c>
      <c r="L16" s="9">
        <v>-42.659905897712306</v>
      </c>
      <c r="M16" s="9">
        <v>-47.979954854493556</v>
      </c>
      <c r="N16" s="9">
        <v>-47.979954854493556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Z16" s="6"/>
      <c r="BA16" s="7"/>
      <c r="BB16" s="7"/>
      <c r="BC16" s="7"/>
      <c r="BD16" s="7"/>
      <c r="BE16" s="7"/>
    </row>
    <row r="17" spans="1:57">
      <c r="A17" s="6">
        <v>2033</v>
      </c>
      <c r="B17" s="7">
        <v>6040</v>
      </c>
      <c r="C17" s="7">
        <v>3020</v>
      </c>
      <c r="D17" s="7">
        <v>1812</v>
      </c>
      <c r="E17" s="8">
        <v>906</v>
      </c>
      <c r="F17" s="8">
        <v>0</v>
      </c>
      <c r="G17" s="9">
        <v>-50.376442569715607</v>
      </c>
      <c r="H17" s="9">
        <v>-50.376442569715621</v>
      </c>
      <c r="I17" s="9">
        <v>-56.391673057746857</v>
      </c>
      <c r="J17" s="9">
        <v>-56.391673057746871</v>
      </c>
      <c r="K17" s="9">
        <v>-54.183215941871659</v>
      </c>
      <c r="L17" s="9">
        <v>-54.183215941871651</v>
      </c>
      <c r="M17" s="9">
        <v>-60.198446429902909</v>
      </c>
      <c r="N17" s="9">
        <v>-60.198446429902901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  <c r="AN17" s="7">
        <v>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  <c r="AZ17" s="6"/>
      <c r="BA17" s="7"/>
      <c r="BB17" s="7"/>
      <c r="BC17" s="7"/>
      <c r="BD17" s="7"/>
      <c r="BE17" s="7"/>
    </row>
    <row r="18" spans="1:57">
      <c r="A18" s="6">
        <v>2034</v>
      </c>
      <c r="B18" s="7">
        <v>7040</v>
      </c>
      <c r="C18" s="7">
        <v>3520</v>
      </c>
      <c r="D18" s="7">
        <v>2112</v>
      </c>
      <c r="E18" s="8">
        <v>1056</v>
      </c>
      <c r="F18" s="8">
        <v>0</v>
      </c>
      <c r="G18" s="9">
        <v>-61.249169370031595</v>
      </c>
      <c r="H18" s="9">
        <v>-61.249169370031595</v>
      </c>
      <c r="I18" s="9">
        <v>-67.959581389312845</v>
      </c>
      <c r="J18" s="9">
        <v>-67.959581389312845</v>
      </c>
      <c r="K18" s="9">
        <v>-66.299888665242648</v>
      </c>
      <c r="L18" s="9">
        <v>-66.299888665242648</v>
      </c>
      <c r="M18" s="9">
        <v>-73.010300684523898</v>
      </c>
      <c r="N18" s="9">
        <v>-73.010300684523898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  <c r="AZ18" s="6"/>
      <c r="BA18" s="7"/>
      <c r="BB18" s="7"/>
      <c r="BC18" s="7"/>
      <c r="BD18" s="7"/>
      <c r="BE18" s="7"/>
    </row>
    <row r="19" spans="1:57">
      <c r="A19" s="6">
        <v>2035</v>
      </c>
      <c r="B19" s="7">
        <v>8040</v>
      </c>
      <c r="C19" s="7">
        <v>4020</v>
      </c>
      <c r="D19" s="7">
        <v>2412</v>
      </c>
      <c r="E19" s="8">
        <v>1206</v>
      </c>
      <c r="F19" s="8">
        <v>0</v>
      </c>
      <c r="G19" s="9">
        <v>-74.043160599024134</v>
      </c>
      <c r="H19" s="9">
        <v>-74.04316059902412</v>
      </c>
      <c r="I19" s="9">
        <v>-81.448754149555384</v>
      </c>
      <c r="J19" s="9">
        <v>-81.44875414955537</v>
      </c>
      <c r="K19" s="9">
        <v>-80.673542089084151</v>
      </c>
      <c r="L19" s="9">
        <v>-80.673542089084151</v>
      </c>
      <c r="M19" s="9">
        <v>-88.079135639615401</v>
      </c>
      <c r="N19" s="9">
        <v>-88.079135639615401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  <c r="W19" s="7">
        <v>0</v>
      </c>
      <c r="X19" s="7">
        <v>0</v>
      </c>
      <c r="Y19" s="7">
        <v>0</v>
      </c>
      <c r="Z19" s="7">
        <v>0</v>
      </c>
      <c r="AA19" s="7">
        <v>0</v>
      </c>
      <c r="AB19" s="7">
        <v>0</v>
      </c>
      <c r="AC19" s="7">
        <v>0</v>
      </c>
      <c r="AD19" s="7">
        <v>0</v>
      </c>
      <c r="AE19" s="7">
        <v>0</v>
      </c>
      <c r="AF19" s="7">
        <v>0</v>
      </c>
      <c r="AG19" s="7">
        <v>0</v>
      </c>
      <c r="AH19" s="7">
        <v>0</v>
      </c>
      <c r="AI19" s="7">
        <v>0</v>
      </c>
      <c r="AJ19" s="7">
        <v>0</v>
      </c>
      <c r="AK19" s="7">
        <v>0</v>
      </c>
      <c r="AL19" s="7">
        <v>0</v>
      </c>
      <c r="AM19" s="7">
        <v>0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  <c r="AZ19" s="6"/>
      <c r="BA19" s="7"/>
      <c r="BB19" s="7"/>
      <c r="BC19" s="7"/>
      <c r="BD19" s="7"/>
      <c r="BE19" s="7"/>
    </row>
    <row r="20" spans="1:57">
      <c r="A20" s="6">
        <v>2036</v>
      </c>
      <c r="B20" s="7">
        <v>9040</v>
      </c>
      <c r="C20" s="7">
        <v>4520</v>
      </c>
      <c r="D20" s="7">
        <v>2712</v>
      </c>
      <c r="E20" s="8">
        <v>1356</v>
      </c>
      <c r="F20" s="8">
        <v>0</v>
      </c>
      <c r="G20" s="9">
        <v>-86.940348892350542</v>
      </c>
      <c r="H20" s="9">
        <v>-86.940348892350542</v>
      </c>
      <c r="I20" s="9">
        <v>-95.041123974131793</v>
      </c>
      <c r="J20" s="9">
        <v>-95.041123974131793</v>
      </c>
      <c r="K20" s="9">
        <v>-95.144660034936734</v>
      </c>
      <c r="L20" s="9">
        <v>-95.144660034936734</v>
      </c>
      <c r="M20" s="9">
        <v>-103.24543511671799</v>
      </c>
      <c r="N20" s="9">
        <v>-103.24543511671799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  <c r="W20" s="7">
        <v>0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v>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  <c r="AZ20" s="6"/>
      <c r="BA20" s="7"/>
      <c r="BB20" s="7"/>
      <c r="BC20" s="7"/>
      <c r="BD20" s="7"/>
      <c r="BE20" s="7"/>
    </row>
    <row r="21" spans="1:57">
      <c r="A21" s="6">
        <v>2037</v>
      </c>
      <c r="B21" s="7">
        <v>10040</v>
      </c>
      <c r="C21" s="7">
        <v>5020</v>
      </c>
      <c r="D21" s="7">
        <v>3012</v>
      </c>
      <c r="E21" s="8">
        <v>1506</v>
      </c>
      <c r="F21" s="8">
        <v>0</v>
      </c>
      <c r="G21" s="9">
        <v>-100.19087188022237</v>
      </c>
      <c r="H21" s="9">
        <v>-100.19087188022237</v>
      </c>
      <c r="I21" s="9">
        <v>-108.98682849325363</v>
      </c>
      <c r="J21" s="9">
        <v>-108.98682849325363</v>
      </c>
      <c r="K21" s="9">
        <v>-109.84996806337595</v>
      </c>
      <c r="L21" s="9">
        <v>-109.84996806337594</v>
      </c>
      <c r="M21" s="9">
        <v>-118.6459246764072</v>
      </c>
      <c r="N21" s="9">
        <v>-118.64592467640719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0</v>
      </c>
      <c r="AI21" s="7">
        <v>0</v>
      </c>
      <c r="AJ21" s="7">
        <v>0</v>
      </c>
      <c r="AK21" s="7">
        <v>0</v>
      </c>
      <c r="AL21" s="7">
        <v>0</v>
      </c>
      <c r="AM21" s="7">
        <v>0</v>
      </c>
      <c r="AN21" s="7">
        <v>0</v>
      </c>
      <c r="AO21" s="7">
        <v>0</v>
      </c>
      <c r="AP21" s="7">
        <v>0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  <c r="AZ21" s="6"/>
      <c r="BA21" s="7"/>
      <c r="BB21" s="7"/>
      <c r="BC21" s="7"/>
      <c r="BD21" s="7"/>
      <c r="BE21" s="7"/>
    </row>
    <row r="22" spans="1:57">
      <c r="A22" s="6">
        <v>2038</v>
      </c>
      <c r="B22" s="7">
        <v>11040</v>
      </c>
      <c r="C22" s="7">
        <v>5520</v>
      </c>
      <c r="D22" s="7">
        <v>3312</v>
      </c>
      <c r="E22" s="8">
        <v>1656</v>
      </c>
      <c r="F22" s="8">
        <v>0</v>
      </c>
      <c r="G22" s="9">
        <v>-112.83120128090371</v>
      </c>
      <c r="H22" s="9">
        <v>-112.94863822446816</v>
      </c>
      <c r="I22" s="9">
        <v>-122.32233942518496</v>
      </c>
      <c r="J22" s="9">
        <v>-122.43977636874941</v>
      </c>
      <c r="K22" s="9">
        <v>-124.34754395056984</v>
      </c>
      <c r="L22" s="9">
        <v>-124.91144633894154</v>
      </c>
      <c r="M22" s="9">
        <v>-133.83868209485109</v>
      </c>
      <c r="N22" s="9">
        <v>-134.4025844832228</v>
      </c>
      <c r="O22" s="7">
        <v>-65.195383843144072</v>
      </c>
      <c r="P22" s="7">
        <v>-392.95039565527043</v>
      </c>
      <c r="Q22" s="7">
        <v>-3.549526939059005</v>
      </c>
      <c r="R22" s="7">
        <v>95.719231019837451</v>
      </c>
      <c r="S22" s="7">
        <v>-1.0165394066283888</v>
      </c>
      <c r="T22" s="7">
        <v>-0.96068220038900565</v>
      </c>
      <c r="U22" s="7">
        <v>-1.0904368892055845</v>
      </c>
      <c r="V22" s="7">
        <v>-0.80313613900957492</v>
      </c>
      <c r="W22" s="7">
        <v>4.635956959725556E-4</v>
      </c>
      <c r="X22" s="7">
        <v>1.0287788549807225E-2</v>
      </c>
      <c r="Y22" s="7">
        <v>-1.4761373238095228E-3</v>
      </c>
      <c r="Z22" s="7">
        <v>-4.0103764340532503E-3</v>
      </c>
      <c r="AA22" s="7">
        <v>0</v>
      </c>
      <c r="AB22" s="7">
        <v>0</v>
      </c>
      <c r="AC22" s="7">
        <v>0</v>
      </c>
      <c r="AD22" s="7">
        <v>0</v>
      </c>
      <c r="AE22" s="7">
        <v>-1.1769776711544211</v>
      </c>
      <c r="AF22" s="7">
        <v>-1.1123046401945351</v>
      </c>
      <c r="AG22" s="7">
        <v>-1.2625382371105989</v>
      </c>
      <c r="AH22" s="7">
        <v>-0.92989341716390683</v>
      </c>
      <c r="AI22" s="7">
        <v>-1.3374746263118422</v>
      </c>
      <c r="AJ22" s="7">
        <v>-1.2639825456756082</v>
      </c>
      <c r="AK22" s="7">
        <v>-1.434702542171135</v>
      </c>
      <c r="AL22" s="7">
        <v>-1.0566970649589851</v>
      </c>
      <c r="AM22" s="7">
        <v>-10.535117450711482</v>
      </c>
      <c r="AN22" s="7">
        <v>-233.78789238526505</v>
      </c>
      <c r="AO22" s="7">
        <v>33.54491902063058</v>
      </c>
      <c r="AP22" s="7">
        <v>91.13498490464336</v>
      </c>
      <c r="AQ22" s="7">
        <v>2.0094683025487082E-3</v>
      </c>
      <c r="AR22" s="7">
        <v>4.4592702593565459E-2</v>
      </c>
      <c r="AS22" s="7">
        <v>-6.3983578539950773E-3</v>
      </c>
      <c r="AT22" s="7">
        <v>-1.7383087020711674E-2</v>
      </c>
      <c r="AU22" s="7">
        <v>2.2834867074417137E-3</v>
      </c>
      <c r="AV22" s="7">
        <v>5.0673525674506205E-2</v>
      </c>
      <c r="AW22" s="7">
        <v>-7.2708611977216784E-3</v>
      </c>
      <c r="AX22" s="7">
        <v>-1.9753507978081449E-2</v>
      </c>
      <c r="AZ22" s="6"/>
      <c r="BA22" s="7"/>
      <c r="BB22" s="7"/>
      <c r="BC22" s="7"/>
      <c r="BD22" s="7"/>
      <c r="BE22" s="7"/>
    </row>
    <row r="23" spans="1:57">
      <c r="A23" s="6">
        <v>2039</v>
      </c>
      <c r="B23" s="7">
        <v>12040</v>
      </c>
      <c r="C23" s="7">
        <v>6020</v>
      </c>
      <c r="D23" s="7">
        <v>3612</v>
      </c>
      <c r="E23" s="8">
        <v>1806</v>
      </c>
      <c r="F23" s="8">
        <v>0</v>
      </c>
      <c r="G23" s="9">
        <v>-125.74024165524625</v>
      </c>
      <c r="H23" s="9">
        <v>-126.21962764502479</v>
      </c>
      <c r="I23" s="9">
        <v>-135.9265613307775</v>
      </c>
      <c r="J23" s="9">
        <v>-136.40594732055604</v>
      </c>
      <c r="K23" s="9">
        <v>-138.70599304236924</v>
      </c>
      <c r="L23" s="9">
        <v>-139.94879931847714</v>
      </c>
      <c r="M23" s="9">
        <v>-148.8923127179005</v>
      </c>
      <c r="N23" s="9">
        <v>-150.13511899400839</v>
      </c>
      <c r="O23" s="7">
        <v>549.16786028713204</v>
      </c>
      <c r="P23" s="7">
        <v>115.25087363990572</v>
      </c>
      <c r="Q23" s="7">
        <v>672.34557210823846</v>
      </c>
      <c r="R23" s="7">
        <v>753.73964554706913</v>
      </c>
      <c r="S23" s="7">
        <v>-1.6276688420428893</v>
      </c>
      <c r="T23" s="7">
        <v>-1.4014641516212623</v>
      </c>
      <c r="U23" s="7">
        <v>-1.9580591976311836</v>
      </c>
      <c r="V23" s="7">
        <v>-1.3767244477533047</v>
      </c>
      <c r="W23" s="7">
        <v>-2.7027384690219435E-2</v>
      </c>
      <c r="X23" s="7">
        <v>-1.0291787278805021E-2</v>
      </c>
      <c r="Y23" s="7">
        <v>-3.2470326096031434E-2</v>
      </c>
      <c r="Z23" s="7">
        <v>-3.3403609595793547E-2</v>
      </c>
      <c r="AA23" s="7">
        <v>0</v>
      </c>
      <c r="AB23" s="7">
        <v>0</v>
      </c>
      <c r="AC23" s="7">
        <v>0</v>
      </c>
      <c r="AD23" s="7">
        <v>0</v>
      </c>
      <c r="AE23" s="7">
        <v>-1.8473487222924683</v>
      </c>
      <c r="AF23" s="7">
        <v>-1.5928857262756393</v>
      </c>
      <c r="AG23" s="7">
        <v>-2.2188082107200722</v>
      </c>
      <c r="AH23" s="7">
        <v>-1.5610280022921526</v>
      </c>
      <c r="AI23" s="7">
        <v>-2.1733514379911392</v>
      </c>
      <c r="AJ23" s="7">
        <v>-1.8739832073831051</v>
      </c>
      <c r="AK23" s="7">
        <v>-2.6103626008471439</v>
      </c>
      <c r="AL23" s="7">
        <v>-1.8365035321084149</v>
      </c>
      <c r="AM23" s="7">
        <v>491.35343502219104</v>
      </c>
      <c r="AN23" s="7">
        <v>187.10301014764877</v>
      </c>
      <c r="AO23" s="7">
        <v>590.3052199256723</v>
      </c>
      <c r="AP23" s="7">
        <v>607.27216137093899</v>
      </c>
      <c r="AQ23" s="7">
        <v>-9.0525728484900925E-2</v>
      </c>
      <c r="AR23" s="7">
        <v>-3.4471390832077439E-2</v>
      </c>
      <c r="AS23" s="7">
        <v>-0.10875635795605605</v>
      </c>
      <c r="AT23" s="7">
        <v>-0.11188230483057839</v>
      </c>
      <c r="AU23" s="7">
        <v>-0.10650085704105991</v>
      </c>
      <c r="AV23" s="7">
        <v>-4.0554577449502874E-2</v>
      </c>
      <c r="AW23" s="7">
        <v>-0.12794865641888947</v>
      </c>
      <c r="AX23" s="7">
        <v>-0.13162624097715103</v>
      </c>
      <c r="AZ23" s="6"/>
      <c r="BA23" s="7"/>
      <c r="BB23" s="7"/>
      <c r="BC23" s="7"/>
      <c r="BD23" s="7"/>
      <c r="BE23" s="7"/>
    </row>
    <row r="24" spans="1:57">
      <c r="A24" s="6">
        <v>2040</v>
      </c>
      <c r="B24" s="7">
        <v>13040</v>
      </c>
      <c r="C24" s="7">
        <v>6520</v>
      </c>
      <c r="D24" s="7">
        <v>3912</v>
      </c>
      <c r="E24" s="8">
        <v>1956</v>
      </c>
      <c r="F24" s="8">
        <v>0</v>
      </c>
      <c r="G24" s="9">
        <v>-140.27320256660852</v>
      </c>
      <c r="H24" s="9">
        <v>-141.10395855189736</v>
      </c>
      <c r="I24" s="9">
        <v>-151.15470377338977</v>
      </c>
      <c r="J24" s="9">
        <v>-151.98545975867862</v>
      </c>
      <c r="K24" s="9">
        <v>-155.37287639668858</v>
      </c>
      <c r="L24" s="9">
        <v>-157.18150952881476</v>
      </c>
      <c r="M24" s="9">
        <v>-166.25437760346983</v>
      </c>
      <c r="N24" s="9">
        <v>-168.06301073559601</v>
      </c>
      <c r="O24" s="7">
        <v>1471.9715912886074</v>
      </c>
      <c r="P24" s="7">
        <v>241.9273281480898</v>
      </c>
      <c r="Q24" s="7">
        <v>2656.2558780850513</v>
      </c>
      <c r="R24" s="7">
        <v>1353.219144039623</v>
      </c>
      <c r="S24" s="7">
        <v>-2.1940130909484528</v>
      </c>
      <c r="T24" s="7">
        <v>-1.8370105574361162</v>
      </c>
      <c r="U24" s="7">
        <v>-2.593207710842</v>
      </c>
      <c r="V24" s="7">
        <v>-1.8288440592489887</v>
      </c>
      <c r="W24" s="7">
        <v>-8.1861970810974363E-2</v>
      </c>
      <c r="X24" s="7">
        <v>-2.5015150123814531E-2</v>
      </c>
      <c r="Y24" s="7">
        <v>-0.13728958700245333</v>
      </c>
      <c r="Z24" s="7">
        <v>-7.3761169146571368E-2</v>
      </c>
      <c r="AA24" s="7">
        <v>0</v>
      </c>
      <c r="AB24" s="7">
        <v>0</v>
      </c>
      <c r="AC24" s="7">
        <v>0</v>
      </c>
      <c r="AD24" s="7">
        <v>0</v>
      </c>
      <c r="AE24" s="7">
        <v>-2.4349120604689101</v>
      </c>
      <c r="AF24" s="7">
        <v>-2.0425116092907722</v>
      </c>
      <c r="AG24" s="7">
        <v>-2.8759684902162843</v>
      </c>
      <c r="AH24" s="7">
        <v>-2.0290266597369473</v>
      </c>
      <c r="AI24" s="7">
        <v>-2.9694049517913537</v>
      </c>
      <c r="AJ24" s="7">
        <v>-2.4908678162082585</v>
      </c>
      <c r="AK24" s="7">
        <v>-3.5072786466052244</v>
      </c>
      <c r="AL24" s="7">
        <v>-2.4744227557767648</v>
      </c>
      <c r="AM24" s="7">
        <v>1240.1977049292032</v>
      </c>
      <c r="AN24" s="7">
        <v>378.97611631719025</v>
      </c>
      <c r="AO24" s="7">
        <v>2079.918538783762</v>
      </c>
      <c r="AP24" s="7">
        <v>1117.4716633649505</v>
      </c>
      <c r="AQ24" s="7">
        <v>-0.22042653908559193</v>
      </c>
      <c r="AR24" s="7">
        <v>-6.7357320033635815E-2</v>
      </c>
      <c r="AS24" s="7">
        <v>-0.36967432149073193</v>
      </c>
      <c r="AT24" s="7">
        <v>-0.19861382608816949</v>
      </c>
      <c r="AU24" s="7">
        <v>-0.26881285254340476</v>
      </c>
      <c r="AV24" s="7">
        <v>-8.2143073211750989E-2</v>
      </c>
      <c r="AW24" s="7">
        <v>-0.45082234328138043</v>
      </c>
      <c r="AX24" s="7">
        <v>-0.24221198303435301</v>
      </c>
      <c r="AZ24" s="6"/>
      <c r="BA24" s="7"/>
      <c r="BB24" s="7"/>
      <c r="BC24" s="7"/>
      <c r="BD24" s="7"/>
      <c r="BE24" s="7"/>
    </row>
    <row r="25" spans="1:57">
      <c r="A25" s="6">
        <v>2041</v>
      </c>
      <c r="B25" s="7">
        <v>14040</v>
      </c>
      <c r="C25" s="7">
        <v>7020</v>
      </c>
      <c r="D25" s="7">
        <v>4212</v>
      </c>
      <c r="E25" s="8">
        <v>2106</v>
      </c>
      <c r="F25" s="8">
        <v>0</v>
      </c>
      <c r="G25" s="9">
        <v>-153.78770483640838</v>
      </c>
      <c r="H25" s="9">
        <v>-155.14631291223066</v>
      </c>
      <c r="I25" s="9">
        <v>-165.36438757443963</v>
      </c>
      <c r="J25" s="9">
        <v>-166.72299565026191</v>
      </c>
      <c r="K25" s="9">
        <v>-170.47421759203354</v>
      </c>
      <c r="L25" s="9">
        <v>-173.22184032598193</v>
      </c>
      <c r="M25" s="9">
        <v>-182.05090033006479</v>
      </c>
      <c r="N25" s="9">
        <v>-184.79852306401318</v>
      </c>
      <c r="O25" s="7">
        <v>2688.070677966482</v>
      </c>
      <c r="P25" s="7">
        <v>1175.4384072386276</v>
      </c>
      <c r="Q25" s="7">
        <v>3271.6546823168719</v>
      </c>
      <c r="R25" s="7">
        <v>2571.6101356103795</v>
      </c>
      <c r="S25" s="7">
        <v>-3.0232064847003079</v>
      </c>
      <c r="T25" s="7">
        <v>-2.4659836041775653</v>
      </c>
      <c r="U25" s="7">
        <v>-3.7564163952638903</v>
      </c>
      <c r="V25" s="7">
        <v>-2.6450286064652411</v>
      </c>
      <c r="W25" s="7">
        <v>-0.17195537373970526</v>
      </c>
      <c r="X25" s="7">
        <v>-8.8621507842546771E-2</v>
      </c>
      <c r="Y25" s="7">
        <v>-0.20823533674308523</v>
      </c>
      <c r="Z25" s="7">
        <v>-0.16074645215987257</v>
      </c>
      <c r="AA25" s="7">
        <v>0</v>
      </c>
      <c r="AB25" s="7">
        <v>0</v>
      </c>
      <c r="AC25" s="7">
        <v>0</v>
      </c>
      <c r="AD25" s="7">
        <v>0</v>
      </c>
      <c r="AE25" s="7">
        <v>-3.2618950498515535</v>
      </c>
      <c r="AF25" s="7">
        <v>-2.6669190481805485</v>
      </c>
      <c r="AG25" s="7">
        <v>-4.0438562304001406</v>
      </c>
      <c r="AH25" s="7">
        <v>-2.8483185477243085</v>
      </c>
      <c r="AI25" s="7">
        <v>-4.1289810757614598</v>
      </c>
      <c r="AJ25" s="7">
        <v>-3.3758468964310739</v>
      </c>
      <c r="AK25" s="7">
        <v>-5.118805354936887</v>
      </c>
      <c r="AL25" s="7">
        <v>-3.6054665161067194</v>
      </c>
      <c r="AM25" s="7">
        <v>2232.9432728519146</v>
      </c>
      <c r="AN25" s="7">
        <v>1150.8032314625771</v>
      </c>
      <c r="AO25" s="7">
        <v>2704.0602700464478</v>
      </c>
      <c r="AP25" s="7">
        <v>2087.3887287089724</v>
      </c>
      <c r="AQ25" s="7">
        <v>-0.38235245896861547</v>
      </c>
      <c r="AR25" s="7">
        <v>-0.19705491433141575</v>
      </c>
      <c r="AS25" s="7">
        <v>-0.4630230001907284</v>
      </c>
      <c r="AT25" s="7">
        <v>-0.35742879048865911</v>
      </c>
      <c r="AU25" s="7">
        <v>-0.48399045439065247</v>
      </c>
      <c r="AV25" s="7">
        <v>-0.2494366004195136</v>
      </c>
      <c r="AW25" s="7">
        <v>-0.58610506353256753</v>
      </c>
      <c r="AX25" s="7">
        <v>-0.45244150694766971</v>
      </c>
      <c r="AZ25" s="6"/>
      <c r="BA25" s="7"/>
      <c r="BB25" s="7"/>
      <c r="BC25" s="7"/>
      <c r="BD25" s="7"/>
      <c r="BE25" s="7"/>
    </row>
    <row r="26" spans="1:57">
      <c r="A26" s="6">
        <v>2042</v>
      </c>
      <c r="B26" s="7">
        <v>15040</v>
      </c>
      <c r="C26" s="7">
        <v>7520</v>
      </c>
      <c r="D26" s="7">
        <v>4512</v>
      </c>
      <c r="E26" s="8">
        <v>2256</v>
      </c>
      <c r="F26" s="8">
        <v>0</v>
      </c>
      <c r="G26" s="9">
        <v>-166.98737294537548</v>
      </c>
      <c r="H26" s="9">
        <v>-168.70276480031492</v>
      </c>
      <c r="I26" s="9">
        <v>-179.25923721465674</v>
      </c>
      <c r="J26" s="9">
        <v>-180.97462906959618</v>
      </c>
      <c r="K26" s="9">
        <v>-185.50441669382695</v>
      </c>
      <c r="L26" s="9">
        <v>-189.17110009406952</v>
      </c>
      <c r="M26" s="9">
        <v>-197.77628096310821</v>
      </c>
      <c r="N26" s="9">
        <v>-201.44296436335077</v>
      </c>
      <c r="O26" s="7">
        <v>2861.8067061285874</v>
      </c>
      <c r="P26" s="7">
        <v>1200.7810880414704</v>
      </c>
      <c r="Q26" s="7">
        <v>3480.5447365719388</v>
      </c>
      <c r="R26" s="7">
        <v>3113.4937254182773</v>
      </c>
      <c r="S26" s="7">
        <v>-4.0283388761651873</v>
      </c>
      <c r="T26" s="7">
        <v>-3.3869791685182324</v>
      </c>
      <c r="U26" s="7">
        <v>-4.8513820163206178</v>
      </c>
      <c r="V26" s="7">
        <v>-3.4429406196001544</v>
      </c>
      <c r="W26" s="7">
        <v>-0.22721122970975671</v>
      </c>
      <c r="X26" s="7">
        <v>-0.11968948633421772</v>
      </c>
      <c r="Y26" s="7">
        <v>-0.27525704316825855</v>
      </c>
      <c r="Z26" s="7">
        <v>-0.2335062276248222</v>
      </c>
      <c r="AA26" s="7">
        <v>0</v>
      </c>
      <c r="AB26" s="7">
        <v>0</v>
      </c>
      <c r="AC26" s="7">
        <v>0</v>
      </c>
      <c r="AD26" s="7">
        <v>0</v>
      </c>
      <c r="AE26" s="7">
        <v>-4.2149179318093077</v>
      </c>
      <c r="AF26" s="7">
        <v>-3.5451632041438907</v>
      </c>
      <c r="AG26" s="7">
        <v>-5.0744355969718926</v>
      </c>
      <c r="AH26" s="7">
        <v>-3.6008578855554458</v>
      </c>
      <c r="AI26" s="7">
        <v>-5.5459446471175102</v>
      </c>
      <c r="AJ26" s="7">
        <v>-4.6646884265051192</v>
      </c>
      <c r="AK26" s="7">
        <v>-6.6768889433840686</v>
      </c>
      <c r="AL26" s="7">
        <v>-4.737970902046639</v>
      </c>
      <c r="AM26" s="7">
        <v>2581.6643811708059</v>
      </c>
      <c r="AN26" s="7">
        <v>1359.959558620403</v>
      </c>
      <c r="AO26" s="7">
        <v>3127.5800272796687</v>
      </c>
      <c r="AP26" s="7">
        <v>2653.1906517588791</v>
      </c>
      <c r="AQ26" s="7">
        <v>-0.42527757351026685</v>
      </c>
      <c r="AR26" s="7">
        <v>-0.22402613809153898</v>
      </c>
      <c r="AS26" s="7">
        <v>-0.51520625789377983</v>
      </c>
      <c r="AT26" s="7">
        <v>-0.43706009606424012</v>
      </c>
      <c r="AU26" s="7">
        <v>-0.55957575461877218</v>
      </c>
      <c r="AV26" s="7">
        <v>-0.29477123433097235</v>
      </c>
      <c r="AW26" s="7">
        <v>-0.67790297091286811</v>
      </c>
      <c r="AX26" s="7">
        <v>-0.57507907376873701</v>
      </c>
      <c r="AZ26" s="6"/>
      <c r="BA26" s="7"/>
      <c r="BB26" s="7"/>
      <c r="BC26" s="7"/>
      <c r="BD26" s="7"/>
      <c r="BE26" s="7"/>
    </row>
    <row r="27" spans="1:57">
      <c r="A27" s="6">
        <v>2043</v>
      </c>
      <c r="B27" s="7">
        <v>16040</v>
      </c>
      <c r="C27" s="7">
        <v>8020</v>
      </c>
      <c r="D27" s="7">
        <v>4812</v>
      </c>
      <c r="E27" s="8">
        <v>2406</v>
      </c>
      <c r="F27" s="8">
        <v>0</v>
      </c>
      <c r="G27" s="9">
        <v>-178.97709137764377</v>
      </c>
      <c r="H27" s="9">
        <v>-181.31024530194139</v>
      </c>
      <c r="I27" s="9">
        <v>-191.94413717817503</v>
      </c>
      <c r="J27" s="9">
        <v>-194.27729110247265</v>
      </c>
      <c r="K27" s="9">
        <v>-199.00496348954903</v>
      </c>
      <c r="L27" s="9">
        <v>-204.09665961094223</v>
      </c>
      <c r="M27" s="9">
        <v>-211.97200929008028</v>
      </c>
      <c r="N27" s="9">
        <v>-217.06370541147348</v>
      </c>
      <c r="O27" s="7">
        <v>4741.5837349204676</v>
      </c>
      <c r="P27" s="7">
        <v>2311.3368050179938</v>
      </c>
      <c r="Q27" s="7">
        <v>5009.8088192732675</v>
      </c>
      <c r="R27" s="7">
        <v>4649.5371246964614</v>
      </c>
      <c r="S27" s="7">
        <v>-5.6440516813843322</v>
      </c>
      <c r="T27" s="7">
        <v>-4.7817099882640592</v>
      </c>
      <c r="U27" s="7">
        <v>-6.8849333217383579</v>
      </c>
      <c r="V27" s="7">
        <v>-4.9420100180740256</v>
      </c>
      <c r="W27" s="7">
        <v>-0.41276210115661149</v>
      </c>
      <c r="X27" s="7">
        <v>-0.23546603091568416</v>
      </c>
      <c r="Y27" s="7">
        <v>-0.45007521778100701</v>
      </c>
      <c r="Z27" s="7">
        <v>-0.39267309567006675</v>
      </c>
      <c r="AA27" s="7">
        <v>0</v>
      </c>
      <c r="AB27" s="7">
        <v>0</v>
      </c>
      <c r="AC27" s="7">
        <v>0</v>
      </c>
      <c r="AD27" s="7">
        <v>0</v>
      </c>
      <c r="AE27" s="7">
        <v>-5.6922836134072998</v>
      </c>
      <c r="AF27" s="7">
        <v>-4.8220877340987762</v>
      </c>
      <c r="AG27" s="7">
        <v>-6.937971675190397</v>
      </c>
      <c r="AH27" s="7">
        <v>-4.9770762727721518</v>
      </c>
      <c r="AI27" s="7">
        <v>-7.7976487854894518</v>
      </c>
      <c r="AJ27" s="7">
        <v>-6.6055996357517488</v>
      </c>
      <c r="AK27" s="7">
        <v>-9.5040707879320507</v>
      </c>
      <c r="AL27" s="7">
        <v>-6.8179127024276056</v>
      </c>
      <c r="AM27" s="7">
        <v>4168.859731935986</v>
      </c>
      <c r="AN27" s="7">
        <v>2378.1855256879271</v>
      </c>
      <c r="AO27" s="7">
        <v>4545.7188208217967</v>
      </c>
      <c r="AP27" s="7">
        <v>3965.9626011363689</v>
      </c>
      <c r="AQ27" s="7">
        <v>-0.65962825323490126</v>
      </c>
      <c r="AR27" s="7">
        <v>-0.37629435026578656</v>
      </c>
      <c r="AS27" s="7">
        <v>-0.71925772472158089</v>
      </c>
      <c r="AT27" s="7">
        <v>-0.62752434747130481</v>
      </c>
      <c r="AU27" s="7">
        <v>-0.90360034689712498</v>
      </c>
      <c r="AV27" s="7">
        <v>-0.51547171269285819</v>
      </c>
      <c r="AW27" s="7">
        <v>-0.98528455441312446</v>
      </c>
      <c r="AX27" s="7">
        <v>-0.859622393796308</v>
      </c>
      <c r="AZ27" s="6"/>
      <c r="BA27" s="7"/>
      <c r="BB27" s="7"/>
      <c r="BC27" s="7"/>
      <c r="BD27" s="7"/>
      <c r="BE27" s="7"/>
    </row>
    <row r="28" spans="1:57">
      <c r="A28" s="6">
        <v>2044</v>
      </c>
      <c r="B28" s="7">
        <v>17040</v>
      </c>
      <c r="C28" s="7">
        <v>8520</v>
      </c>
      <c r="D28" s="7">
        <v>5112</v>
      </c>
      <c r="E28" s="8">
        <v>2556</v>
      </c>
      <c r="F28" s="8">
        <v>0</v>
      </c>
      <c r="G28" s="9">
        <v>-192.04978419149552</v>
      </c>
      <c r="H28" s="9">
        <v>-194.91723244513062</v>
      </c>
      <c r="I28" s="9">
        <v>-205.71201152327677</v>
      </c>
      <c r="J28" s="9">
        <v>-208.57945977691188</v>
      </c>
      <c r="K28" s="9">
        <v>-213.69378364296381</v>
      </c>
      <c r="L28" s="9">
        <v>-219.89506668413767</v>
      </c>
      <c r="M28" s="9">
        <v>-227.35601097474506</v>
      </c>
      <c r="N28" s="9">
        <v>-233.55729401591893</v>
      </c>
      <c r="O28" s="7">
        <v>5705.8171763773462</v>
      </c>
      <c r="P28" s="7">
        <v>3029.535375157152</v>
      </c>
      <c r="Q28" s="7">
        <v>7880.6918513940318</v>
      </c>
      <c r="R28" s="7">
        <v>6091.3856499893591</v>
      </c>
      <c r="S28" s="7">
        <v>-6.3265683697002117</v>
      </c>
      <c r="T28" s="7">
        <v>-5.3151876048703315</v>
      </c>
      <c r="U28" s="7">
        <v>-7.8593836929662322</v>
      </c>
      <c r="V28" s="7">
        <v>-5.6146462879849741</v>
      </c>
      <c r="W28" s="7">
        <v>-0.57345880384650949</v>
      </c>
      <c r="X28" s="7">
        <v>-0.3514197139483225</v>
      </c>
      <c r="Y28" s="7">
        <v>-0.7666230673343678</v>
      </c>
      <c r="Z28" s="7">
        <v>-0.58153586501541066</v>
      </c>
      <c r="AA28" s="7">
        <v>0</v>
      </c>
      <c r="AB28" s="7">
        <v>0</v>
      </c>
      <c r="AC28" s="7">
        <v>0</v>
      </c>
      <c r="AD28" s="7">
        <v>0</v>
      </c>
      <c r="AE28" s="7">
        <v>-6.2104079818118194</v>
      </c>
      <c r="AF28" s="7">
        <v>-5.2198464505040798</v>
      </c>
      <c r="AG28" s="7">
        <v>-7.70092007096006</v>
      </c>
      <c r="AH28" s="7">
        <v>-5.5001407017157167</v>
      </c>
      <c r="AI28" s="7">
        <v>-8.8720114025883134</v>
      </c>
      <c r="AJ28" s="7">
        <v>-7.4569235007201149</v>
      </c>
      <c r="AK28" s="7">
        <v>-11.001314387085801</v>
      </c>
      <c r="AL28" s="7">
        <v>-7.8573438595938816</v>
      </c>
      <c r="AM28" s="7">
        <v>5212.6936502233139</v>
      </c>
      <c r="AN28" s="7">
        <v>3194.3764733831167</v>
      </c>
      <c r="AO28" s="7">
        <v>6968.5410153336543</v>
      </c>
      <c r="AP28" s="7">
        <v>5286.1134759983934</v>
      </c>
      <c r="AQ28" s="7">
        <v>-0.79089594408013231</v>
      </c>
      <c r="AR28" s="7">
        <v>-0.48466677042405332</v>
      </c>
      <c r="AS28" s="7">
        <v>-1.0573018855514986</v>
      </c>
      <c r="AT28" s="7">
        <v>-0.80203556714585611</v>
      </c>
      <c r="AU28" s="7">
        <v>-1.1298513486859034</v>
      </c>
      <c r="AV28" s="7">
        <v>-0.6923811006057905</v>
      </c>
      <c r="AW28" s="7">
        <v>-1.5104312650735696</v>
      </c>
      <c r="AX28" s="7">
        <v>-1.1457650959226517</v>
      </c>
      <c r="AZ28" s="6"/>
      <c r="BA28" s="7"/>
      <c r="BB28" s="7"/>
      <c r="BC28" s="7"/>
      <c r="BD28" s="7"/>
      <c r="BE28" s="7"/>
    </row>
    <row r="29" spans="1:57">
      <c r="A29" s="6">
        <v>2045</v>
      </c>
      <c r="B29" s="7">
        <v>18040</v>
      </c>
      <c r="C29" s="7">
        <v>9020</v>
      </c>
      <c r="D29" s="7">
        <v>5412</v>
      </c>
      <c r="E29" s="8">
        <v>2706</v>
      </c>
      <c r="F29" s="8">
        <v>0</v>
      </c>
      <c r="G29" s="9">
        <v>-204.03175844753926</v>
      </c>
      <c r="H29" s="9">
        <v>-207.68416079986338</v>
      </c>
      <c r="I29" s="9">
        <v>-218.38916731057051</v>
      </c>
      <c r="J29" s="9">
        <v>-222.04156966289463</v>
      </c>
      <c r="K29" s="9">
        <v>-227.22115572652226</v>
      </c>
      <c r="L29" s="9">
        <v>-234.8911627298325</v>
      </c>
      <c r="M29" s="9">
        <v>-241.57856458955351</v>
      </c>
      <c r="N29" s="9">
        <v>-249.24857159286375</v>
      </c>
      <c r="O29" s="7">
        <v>9115.8690137650046</v>
      </c>
      <c r="P29" s="7">
        <v>4376.5913708740845</v>
      </c>
      <c r="Q29" s="7">
        <v>10283.341283269445</v>
      </c>
      <c r="R29" s="7">
        <v>8492.655560420224</v>
      </c>
      <c r="S29" s="7">
        <v>-7.7270696081109049</v>
      </c>
      <c r="T29" s="7">
        <v>-6.4438489342615997</v>
      </c>
      <c r="U29" s="7">
        <v>-9.6922526981235624</v>
      </c>
      <c r="V29" s="7">
        <v>-6.9713460858168732</v>
      </c>
      <c r="W29" s="7">
        <v>-0.96532417085599631</v>
      </c>
      <c r="X29" s="7">
        <v>-0.54332869880633095</v>
      </c>
      <c r="Y29" s="7">
        <v>-1.1093319740752365</v>
      </c>
      <c r="Z29" s="7">
        <v>-0.88592460206326407</v>
      </c>
      <c r="AA29" s="7">
        <v>0</v>
      </c>
      <c r="AB29" s="7">
        <v>0</v>
      </c>
      <c r="AC29" s="7">
        <v>0</v>
      </c>
      <c r="AD29" s="7">
        <v>0</v>
      </c>
      <c r="AE29" s="7">
        <v>-7.3112312393725638</v>
      </c>
      <c r="AF29" s="7">
        <v>-6.102320450678417</v>
      </c>
      <c r="AG29" s="7">
        <v>-9.1510953226201259</v>
      </c>
      <c r="AH29" s="7">
        <v>-6.5778991272201193</v>
      </c>
      <c r="AI29" s="7">
        <v>-10.912285431899351</v>
      </c>
      <c r="AJ29" s="7">
        <v>-9.1079409711618169</v>
      </c>
      <c r="AK29" s="7">
        <v>-13.658351227791234</v>
      </c>
      <c r="AL29" s="7">
        <v>-9.8177598913733135</v>
      </c>
      <c r="AM29" s="7">
        <v>7977.0161852256724</v>
      </c>
      <c r="AN29" s="7">
        <v>4489.8304166904145</v>
      </c>
      <c r="AO29" s="7">
        <v>9167.033602960093</v>
      </c>
      <c r="AP29" s="7">
        <v>7320.8929216820643</v>
      </c>
      <c r="AQ29" s="7">
        <v>-1.158442232958935</v>
      </c>
      <c r="AR29" s="7">
        <v>-0.65202439768782361</v>
      </c>
      <c r="AS29" s="7">
        <v>-1.3312595374058718</v>
      </c>
      <c r="AT29" s="7">
        <v>-1.0631583723189733</v>
      </c>
      <c r="AU29" s="7">
        <v>-1.7290182581476645</v>
      </c>
      <c r="AV29" s="7">
        <v>-0.97317074281764737</v>
      </c>
      <c r="AW29" s="7">
        <v>-1.9869545334416001</v>
      </c>
      <c r="AX29" s="7">
        <v>-1.5868035407745875</v>
      </c>
      <c r="AZ29" s="6"/>
      <c r="BA29" s="7"/>
      <c r="BB29" s="7"/>
      <c r="BC29" s="7"/>
      <c r="BD29" s="7"/>
      <c r="BE29" s="7"/>
    </row>
    <row r="30" spans="1:57">
      <c r="A30" s="6">
        <v>2046</v>
      </c>
      <c r="B30" s="7">
        <v>19040</v>
      </c>
      <c r="C30" s="7">
        <v>9520</v>
      </c>
      <c r="D30" s="7">
        <v>5712</v>
      </c>
      <c r="E30" s="8">
        <v>2856</v>
      </c>
      <c r="F30" s="8">
        <v>0</v>
      </c>
      <c r="G30" s="9">
        <v>-215.75437489983057</v>
      </c>
      <c r="H30" s="9">
        <v>-220.07255975125838</v>
      </c>
      <c r="I30" s="9">
        <v>-230.80696529411182</v>
      </c>
      <c r="J30" s="9">
        <v>-235.12515014553964</v>
      </c>
      <c r="K30" s="9">
        <v>-240.89630512319209</v>
      </c>
      <c r="L30" s="9">
        <v>-250.09739005787395</v>
      </c>
      <c r="M30" s="9">
        <v>-255.94889551747335</v>
      </c>
      <c r="N30" s="9">
        <v>-265.14998045215521</v>
      </c>
      <c r="O30" s="7">
        <v>11170.09526709774</v>
      </c>
      <c r="P30" s="7">
        <v>5709.0857366088449</v>
      </c>
      <c r="Q30" s="7">
        <v>12648.449044476976</v>
      </c>
      <c r="R30" s="7">
        <v>10928.531196797212</v>
      </c>
      <c r="S30" s="7">
        <v>-9.0306572973514907</v>
      </c>
      <c r="T30" s="7">
        <v>-7.570161177533695</v>
      </c>
      <c r="U30" s="7">
        <v>-11.123890747742584</v>
      </c>
      <c r="V30" s="7">
        <v>-7.9424002022634363</v>
      </c>
      <c r="W30" s="7">
        <v>-1.3087780051881215</v>
      </c>
      <c r="X30" s="7">
        <v>-0.77218409556403067</v>
      </c>
      <c r="Y30" s="7">
        <v>-1.5111597298543453</v>
      </c>
      <c r="Z30" s="7">
        <v>-1.2482178087500166</v>
      </c>
      <c r="AA30" s="7">
        <v>0</v>
      </c>
      <c r="AB30" s="7">
        <v>0</v>
      </c>
      <c r="AC30" s="7">
        <v>0</v>
      </c>
      <c r="AD30" s="7">
        <v>0</v>
      </c>
      <c r="AE30" s="7">
        <v>-8.2360012019297777</v>
      </c>
      <c r="AF30" s="7">
        <v>-6.9062936670569632</v>
      </c>
      <c r="AG30" s="7">
        <v>-10.140598727552048</v>
      </c>
      <c r="AH30" s="7">
        <v>-7.2403980500875846</v>
      </c>
      <c r="AI30" s="7">
        <v>-12.868751878015276</v>
      </c>
      <c r="AJ30" s="7">
        <v>-10.791083854776504</v>
      </c>
      <c r="AK30" s="7">
        <v>-15.844685511800074</v>
      </c>
      <c r="AL30" s="7">
        <v>-11.313121953261851</v>
      </c>
      <c r="AM30" s="7">
        <v>9913.9042354849553</v>
      </c>
      <c r="AN30" s="7">
        <v>5849.2419228011049</v>
      </c>
      <c r="AO30" s="7">
        <v>11446.932013610576</v>
      </c>
      <c r="AP30" s="7">
        <v>9455.164872820289</v>
      </c>
      <c r="AQ30" s="7">
        <v>-1.3752567955464732</v>
      </c>
      <c r="AR30" s="7">
        <v>-0.81140683953096926</v>
      </c>
      <c r="AS30" s="7">
        <v>-1.5879184089280591</v>
      </c>
      <c r="AT30" s="7">
        <v>-1.3116204711576307</v>
      </c>
      <c r="AU30" s="7">
        <v>-2.148838743041364</v>
      </c>
      <c r="AV30" s="7">
        <v>-1.2678231867671392</v>
      </c>
      <c r="AW30" s="7">
        <v>-2.4811225139500928</v>
      </c>
      <c r="AX30" s="7">
        <v>-2.0494069861837976</v>
      </c>
      <c r="AZ30" s="6"/>
      <c r="BA30" s="7"/>
      <c r="BB30" s="7"/>
      <c r="BC30" s="7"/>
      <c r="BD30" s="7"/>
      <c r="BE30" s="7"/>
    </row>
    <row r="31" spans="1:57">
      <c r="A31" s="6">
        <v>2047</v>
      </c>
      <c r="B31" s="7">
        <v>20040</v>
      </c>
      <c r="C31" s="7">
        <v>10020</v>
      </c>
      <c r="D31" s="7">
        <v>6012</v>
      </c>
      <c r="E31" s="8">
        <v>3006</v>
      </c>
      <c r="F31" s="8">
        <v>0</v>
      </c>
      <c r="G31" s="9">
        <v>-227.12291825969604</v>
      </c>
      <c r="H31" s="9">
        <v>-232.20666319891833</v>
      </c>
      <c r="I31" s="9">
        <v>-242.87069018522729</v>
      </c>
      <c r="J31" s="9">
        <v>-247.95443512444959</v>
      </c>
      <c r="K31" s="9">
        <v>-253.35179085852963</v>
      </c>
      <c r="L31" s="9">
        <v>-264.33154831475764</v>
      </c>
      <c r="M31" s="9">
        <v>-269.09956278406088</v>
      </c>
      <c r="N31" s="9">
        <v>-280.07932024028889</v>
      </c>
      <c r="O31" s="7">
        <v>14102.689930600498</v>
      </c>
      <c r="P31" s="7">
        <v>7976.4124731300944</v>
      </c>
      <c r="Q31" s="7">
        <v>15105.812010695994</v>
      </c>
      <c r="R31" s="7">
        <v>13352.210397380843</v>
      </c>
      <c r="S31" s="7">
        <v>-10.332028435366038</v>
      </c>
      <c r="T31" s="7">
        <v>-8.6552446854513505</v>
      </c>
      <c r="U31" s="7">
        <v>-12.984328028403811</v>
      </c>
      <c r="V31" s="7">
        <v>-9.2491525080422949</v>
      </c>
      <c r="W31" s="7">
        <v>-1.7918929413876314</v>
      </c>
      <c r="X31" s="7">
        <v>-1.1316090229813474</v>
      </c>
      <c r="Y31" s="7">
        <v>-1.987469982950347</v>
      </c>
      <c r="Z31" s="7">
        <v>-1.6669507850632581</v>
      </c>
      <c r="AA31" s="7">
        <v>0</v>
      </c>
      <c r="AB31" s="7">
        <v>0</v>
      </c>
      <c r="AC31" s="7">
        <v>0</v>
      </c>
      <c r="AD31" s="7">
        <v>0</v>
      </c>
      <c r="AE31" s="7">
        <v>-9.0663982283284525</v>
      </c>
      <c r="AF31" s="7">
        <v>-7.5976136558260823</v>
      </c>
      <c r="AG31" s="7">
        <v>-11.37028587853931</v>
      </c>
      <c r="AH31" s="7">
        <v>-8.1010572128647347</v>
      </c>
      <c r="AI31" s="7">
        <v>-14.862947915292546</v>
      </c>
      <c r="AJ31" s="7">
        <v>-12.455104353813249</v>
      </c>
      <c r="AK31" s="7">
        <v>-18.639812915638213</v>
      </c>
      <c r="AL31" s="7">
        <v>-13.280421660433992</v>
      </c>
      <c r="AM31" s="7">
        <v>12529.354123808716</v>
      </c>
      <c r="AN31" s="7">
        <v>7912.4873206157517</v>
      </c>
      <c r="AO31" s="7">
        <v>13896.876678101778</v>
      </c>
      <c r="AP31" s="7">
        <v>11655.727979398511</v>
      </c>
      <c r="AQ31" s="7">
        <v>-1.6565998788646787</v>
      </c>
      <c r="AR31" s="7">
        <v>-1.0461692923135131</v>
      </c>
      <c r="AS31" s="7">
        <v>-1.8374102921869218</v>
      </c>
      <c r="AT31" s="7">
        <v>-1.5410912141161228</v>
      </c>
      <c r="AU31" s="7">
        <v>-2.7157375063355391</v>
      </c>
      <c r="AV31" s="7">
        <v>-1.7150316267434642</v>
      </c>
      <c r="AW31" s="7">
        <v>-3.01214801997856</v>
      </c>
      <c r="AX31" s="7">
        <v>-2.5263790395346275</v>
      </c>
      <c r="AZ31" s="6"/>
      <c r="BA31" s="7"/>
      <c r="BB31" s="7"/>
      <c r="BC31" s="7"/>
      <c r="BD31" s="7"/>
      <c r="BE31" s="7"/>
    </row>
    <row r="32" spans="1:57">
      <c r="A32" s="6">
        <v>2048</v>
      </c>
      <c r="B32" s="7">
        <v>21040</v>
      </c>
      <c r="C32" s="7">
        <v>10520</v>
      </c>
      <c r="D32" s="7">
        <v>6312</v>
      </c>
      <c r="E32" s="8">
        <v>3156</v>
      </c>
      <c r="F32" s="8">
        <v>0</v>
      </c>
      <c r="G32" s="9">
        <v>-237.57232391965945</v>
      </c>
      <c r="H32" s="9">
        <v>-243.29414067169552</v>
      </c>
      <c r="I32" s="9">
        <v>-254.01527737644071</v>
      </c>
      <c r="J32" s="9">
        <v>-259.73709412847677</v>
      </c>
      <c r="K32" s="9">
        <v>-265.17330098920507</v>
      </c>
      <c r="L32" s="9">
        <v>-277.8286624440434</v>
      </c>
      <c r="M32" s="9">
        <v>-281.61625444598633</v>
      </c>
      <c r="N32" s="9">
        <v>-294.27161590082466</v>
      </c>
      <c r="O32" s="7">
        <v>15842.092319850262</v>
      </c>
      <c r="P32" s="7">
        <v>8883.8953809147588</v>
      </c>
      <c r="Q32" s="7">
        <v>19313.084719141509</v>
      </c>
      <c r="R32" s="7">
        <v>16250.371141887708</v>
      </c>
      <c r="S32" s="7">
        <v>-11.790146421301728</v>
      </c>
      <c r="T32" s="7">
        <v>-9.9646092594385784</v>
      </c>
      <c r="U32" s="7">
        <v>-14.749527018413607</v>
      </c>
      <c r="V32" s="7">
        <v>-10.556622986682028</v>
      </c>
      <c r="W32" s="7">
        <v>-2.2223068797099583</v>
      </c>
      <c r="X32" s="7">
        <v>-1.4070090004695168</v>
      </c>
      <c r="Y32" s="7">
        <v>-2.7180111175015691</v>
      </c>
      <c r="Z32" s="7">
        <v>-2.1966351678986427</v>
      </c>
      <c r="AA32" s="7">
        <v>0</v>
      </c>
      <c r="AB32" s="7">
        <v>0</v>
      </c>
      <c r="AC32" s="7">
        <v>0</v>
      </c>
      <c r="AD32" s="7">
        <v>0</v>
      </c>
      <c r="AE32" s="7">
        <v>-9.9202807021956048</v>
      </c>
      <c r="AF32" s="7">
        <v>-8.3798562502416605</v>
      </c>
      <c r="AG32" s="7">
        <v>-12.393232703618152</v>
      </c>
      <c r="AH32" s="7">
        <v>-8.8678569806020278</v>
      </c>
      <c r="AI32" s="7">
        <v>-17.103932245164835</v>
      </c>
      <c r="AJ32" s="7">
        <v>-14.448028017658034</v>
      </c>
      <c r="AK32" s="7">
        <v>-21.367642592445087</v>
      </c>
      <c r="AL32" s="7">
        <v>-15.289408587244873</v>
      </c>
      <c r="AM32" s="7">
        <v>14428.991340429002</v>
      </c>
      <c r="AN32" s="7">
        <v>9135.426285648713</v>
      </c>
      <c r="AO32" s="7">
        <v>17647.499198102832</v>
      </c>
      <c r="AP32" s="7">
        <v>14262.310081957712</v>
      </c>
      <c r="AQ32" s="7">
        <v>-1.8139406463620322</v>
      </c>
      <c r="AR32" s="7">
        <v>-1.1484601155003282</v>
      </c>
      <c r="AS32" s="7">
        <v>-2.2185553616894982</v>
      </c>
      <c r="AT32" s="7">
        <v>-1.792986311953314</v>
      </c>
      <c r="AU32" s="7">
        <v>-3.1274838730379861</v>
      </c>
      <c r="AV32" s="7">
        <v>-1.9801036474143587</v>
      </c>
      <c r="AW32" s="7">
        <v>-3.8250954511887891</v>
      </c>
      <c r="AX32" s="7">
        <v>-3.0913557102643341</v>
      </c>
      <c r="AZ32" s="6"/>
      <c r="BA32" s="7"/>
      <c r="BB32" s="7"/>
      <c r="BC32" s="7"/>
      <c r="BD32" s="7"/>
      <c r="BE32" s="7"/>
    </row>
    <row r="33" spans="1:57">
      <c r="A33" s="6">
        <v>2049</v>
      </c>
      <c r="B33" s="7">
        <v>22040</v>
      </c>
      <c r="C33" s="7">
        <v>11020</v>
      </c>
      <c r="D33" s="7">
        <v>6612</v>
      </c>
      <c r="E33" s="8">
        <v>3306</v>
      </c>
      <c r="F33" s="8">
        <v>0</v>
      </c>
      <c r="G33" s="9">
        <v>-248.13397255747839</v>
      </c>
      <c r="H33" s="9">
        <v>-254.68141470163874</v>
      </c>
      <c r="I33" s="9">
        <v>-265.27210754550964</v>
      </c>
      <c r="J33" s="9">
        <v>-271.81954968967</v>
      </c>
      <c r="K33" s="9">
        <v>-276.40041686606452</v>
      </c>
      <c r="L33" s="9">
        <v>-290.8625988324838</v>
      </c>
      <c r="M33" s="9">
        <v>-293.53855185409577</v>
      </c>
      <c r="N33" s="9">
        <v>-308.00073382051505</v>
      </c>
      <c r="O33" s="7">
        <v>20051.39224744073</v>
      </c>
      <c r="P33" s="7">
        <v>12152.345618440113</v>
      </c>
      <c r="Q33" s="7">
        <v>22048.359646138681</v>
      </c>
      <c r="R33" s="7">
        <v>18484.149352100241</v>
      </c>
      <c r="S33" s="7">
        <v>-12.930376672295198</v>
      </c>
      <c r="T33" s="7">
        <v>-10.863332390118599</v>
      </c>
      <c r="U33" s="7">
        <v>-16.519285330739102</v>
      </c>
      <c r="V33" s="7">
        <v>-11.82556921519023</v>
      </c>
      <c r="W33" s="7">
        <v>-2.9838514078046208</v>
      </c>
      <c r="X33" s="7">
        <v>-1.9844022615528019</v>
      </c>
      <c r="Y33" s="7">
        <v>-3.3860443776101556</v>
      </c>
      <c r="Z33" s="7">
        <v>-2.7235013771115306</v>
      </c>
      <c r="AA33" s="7">
        <v>0</v>
      </c>
      <c r="AB33" s="7">
        <v>0</v>
      </c>
      <c r="AC33" s="7">
        <v>0</v>
      </c>
      <c r="AD33" s="7">
        <v>0</v>
      </c>
      <c r="AE33" s="7">
        <v>-10.434657400331758</v>
      </c>
      <c r="AF33" s="7">
        <v>-8.7678128932974531</v>
      </c>
      <c r="AG33" s="7">
        <v>-13.286057426610039</v>
      </c>
      <c r="AH33" s="7">
        <v>-9.5086481485790575</v>
      </c>
      <c r="AI33" s="7">
        <v>-18.972104364239559</v>
      </c>
      <c r="AJ33" s="7">
        <v>-15.941477987813549</v>
      </c>
      <c r="AK33" s="7">
        <v>-24.156468048381889</v>
      </c>
      <c r="AL33" s="7">
        <v>-17.288451179234649</v>
      </c>
      <c r="AM33" s="7">
        <v>18081.976923589853</v>
      </c>
      <c r="AN33" s="7">
        <v>12025.369563197361</v>
      </c>
      <c r="AO33" s="7">
        <v>20519.244402738383</v>
      </c>
      <c r="AP33" s="7">
        <v>16504.269925602304</v>
      </c>
      <c r="AQ33" s="7">
        <v>-2.1555976740034559</v>
      </c>
      <c r="AR33" s="7">
        <v>-1.4335743690526657</v>
      </c>
      <c r="AS33" s="7">
        <v>-2.4461504233614497</v>
      </c>
      <c r="AT33" s="7">
        <v>-1.9675152785058647</v>
      </c>
      <c r="AU33" s="7">
        <v>-3.9192684981881007</v>
      </c>
      <c r="AV33" s="7">
        <v>-2.606498852823028</v>
      </c>
      <c r="AW33" s="7">
        <v>-4.4475462242935446</v>
      </c>
      <c r="AX33" s="7">
        <v>-3.5773005063742995</v>
      </c>
      <c r="AZ33" s="6"/>
      <c r="BA33" s="7"/>
      <c r="BB33" s="7"/>
      <c r="BC33" s="7"/>
      <c r="BD33" s="7"/>
      <c r="BE33" s="7"/>
    </row>
    <row r="34" spans="1:57">
      <c r="A34" s="6">
        <v>2050</v>
      </c>
      <c r="B34" s="7">
        <v>23040</v>
      </c>
      <c r="C34" s="7">
        <v>11520</v>
      </c>
      <c r="D34" s="7">
        <v>6912</v>
      </c>
      <c r="E34" s="8">
        <v>3456</v>
      </c>
      <c r="F34" s="8">
        <v>0</v>
      </c>
      <c r="G34" s="9">
        <v>-256.71445617297894</v>
      </c>
      <c r="H34" s="9">
        <v>-263.98382908623313</v>
      </c>
      <c r="I34" s="9">
        <v>-274.5477726922602</v>
      </c>
      <c r="J34" s="9">
        <v>-281.81714560551438</v>
      </c>
      <c r="K34" s="9">
        <v>-286.38195373668998</v>
      </c>
      <c r="L34" s="9">
        <v>-302.72911787613253</v>
      </c>
      <c r="M34" s="9">
        <v>-304.21527025597123</v>
      </c>
      <c r="N34" s="9">
        <v>-320.56243439541379</v>
      </c>
      <c r="O34" s="7">
        <v>23268.118137946571</v>
      </c>
      <c r="P34" s="7">
        <v>12825.650075688849</v>
      </c>
      <c r="Q34" s="7">
        <v>25894.455828862923</v>
      </c>
      <c r="R34" s="7">
        <v>22182.370901097707</v>
      </c>
      <c r="S34" s="7">
        <v>-14.813783950345444</v>
      </c>
      <c r="T34" s="7">
        <v>-12.566045524931424</v>
      </c>
      <c r="U34" s="7">
        <v>-18.520364548458108</v>
      </c>
      <c r="V34" s="7">
        <v>-13.312137830376207</v>
      </c>
      <c r="W34" s="7">
        <v>-3.7251526050561727</v>
      </c>
      <c r="X34" s="7">
        <v>-2.331779552157669</v>
      </c>
      <c r="Y34" s="7">
        <v>-4.271039059105628</v>
      </c>
      <c r="Z34" s="7">
        <v>-3.4896830548667714</v>
      </c>
      <c r="AA34" s="7">
        <v>0</v>
      </c>
      <c r="AB34" s="7">
        <v>0</v>
      </c>
      <c r="AC34" s="7">
        <v>0</v>
      </c>
      <c r="AD34" s="7">
        <v>0</v>
      </c>
      <c r="AE34" s="7">
        <v>-11.363846609459008</v>
      </c>
      <c r="AF34" s="7">
        <v>-9.6307593486023464</v>
      </c>
      <c r="AG34" s="7">
        <v>-14.19847315820615</v>
      </c>
      <c r="AH34" s="7">
        <v>-10.198935728194973</v>
      </c>
      <c r="AI34" s="7">
        <v>-21.853551172036553</v>
      </c>
      <c r="AJ34" s="7">
        <v>-18.520691055004512</v>
      </c>
      <c r="AK34" s="7">
        <v>-27.304756073473364</v>
      </c>
      <c r="AL34" s="7">
        <v>-19.613337938836487</v>
      </c>
      <c r="AM34" s="7">
        <v>21163.332919733301</v>
      </c>
      <c r="AN34" s="7">
        <v>13247.303450269046</v>
      </c>
      <c r="AO34" s="7">
        <v>24264.622447507456</v>
      </c>
      <c r="AP34" s="7">
        <v>19825.583567839836</v>
      </c>
      <c r="AQ34" s="7">
        <v>-2.3853192533831402</v>
      </c>
      <c r="AR34" s="7">
        <v>-1.4931035718798242</v>
      </c>
      <c r="AS34" s="7">
        <v>-2.7348655960585653</v>
      </c>
      <c r="AT34" s="7">
        <v>-2.2345415239312278</v>
      </c>
      <c r="AU34" s="7">
        <v>-4.5871524103521937</v>
      </c>
      <c r="AV34" s="7">
        <v>-2.8713530228458159</v>
      </c>
      <c r="AW34" s="7">
        <v>-5.259356915497241</v>
      </c>
      <c r="AX34" s="7">
        <v>-4.2971952383292846</v>
      </c>
      <c r="AZ34" s="6"/>
      <c r="BA34" s="7"/>
      <c r="BB34" s="7"/>
      <c r="BC34" s="7"/>
      <c r="BD34" s="7"/>
      <c r="BE34" s="7"/>
    </row>
    <row r="35" spans="1:57">
      <c r="A35" s="6">
        <v>2051</v>
      </c>
      <c r="B35" s="7">
        <v>24040</v>
      </c>
      <c r="C35" s="7">
        <v>12020</v>
      </c>
      <c r="D35" s="7">
        <v>7212</v>
      </c>
      <c r="E35" s="8">
        <v>3606</v>
      </c>
      <c r="F35" s="8">
        <v>0</v>
      </c>
      <c r="G35" s="9">
        <v>-245.35105488377383</v>
      </c>
      <c r="H35" s="9">
        <v>-274.81778660673723</v>
      </c>
      <c r="I35" s="9">
        <v>-263.87955293430508</v>
      </c>
      <c r="J35" s="9">
        <v>-293.34628465726848</v>
      </c>
      <c r="K35" s="9">
        <v>-256.0102355846837</v>
      </c>
      <c r="L35" s="9">
        <v>-304.64583175751784</v>
      </c>
      <c r="M35" s="9">
        <v>-274.53873363521495</v>
      </c>
      <c r="N35" s="9">
        <v>-323.17432980804909</v>
      </c>
      <c r="O35" s="7">
        <v>32443.20565154398</v>
      </c>
      <c r="P35" s="7">
        <v>22983.014164445154</v>
      </c>
      <c r="Q35" s="7">
        <v>29631.954715013886</v>
      </c>
      <c r="R35" s="7">
        <v>29763.920590603942</v>
      </c>
      <c r="S35" s="7">
        <v>-25.981458220882519</v>
      </c>
      <c r="T35" s="7">
        <v>-13.14686569447821</v>
      </c>
      <c r="U35" s="7">
        <v>-40.0041796065236</v>
      </c>
      <c r="V35" s="7">
        <v>-19.46684786012473</v>
      </c>
      <c r="W35" s="7">
        <v>-5.3672912245884445</v>
      </c>
      <c r="X35" s="7">
        <v>-3.9181655191589262</v>
      </c>
      <c r="Y35" s="7">
        <v>-5.3692712201072634</v>
      </c>
      <c r="Z35" s="7">
        <v>-4.8665025972194851</v>
      </c>
      <c r="AA35" s="7">
        <v>0</v>
      </c>
      <c r="AB35" s="7">
        <v>0</v>
      </c>
      <c r="AC35" s="7">
        <v>0</v>
      </c>
      <c r="AD35" s="7">
        <v>0</v>
      </c>
      <c r="AE35" s="7">
        <v>-18.134476249759231</v>
      </c>
      <c r="AF35" s="7">
        <v>-9.6416804114508725</v>
      </c>
      <c r="AG35" s="7">
        <v>-27.513040542705522</v>
      </c>
      <c r="AH35" s="7">
        <v>-13.781968028014354</v>
      </c>
      <c r="AI35" s="7">
        <v>-37.009135203590269</v>
      </c>
      <c r="AJ35" s="7">
        <v>-19.676898798879332</v>
      </c>
      <c r="AK35" s="7">
        <v>-56.149062332052083</v>
      </c>
      <c r="AL35" s="7">
        <v>-28.126465363294603</v>
      </c>
      <c r="AM35" s="7">
        <v>28698.963816680636</v>
      </c>
      <c r="AN35" s="7">
        <v>20950.473107732298</v>
      </c>
      <c r="AO35" s="7">
        <v>28709.550873982742</v>
      </c>
      <c r="AP35" s="7">
        <v>26021.241648219591</v>
      </c>
      <c r="AQ35" s="7">
        <v>-3.0480451995601086</v>
      </c>
      <c r="AR35" s="7">
        <v>-2.2250973725894783</v>
      </c>
      <c r="AS35" s="7">
        <v>-3.0491696244485227</v>
      </c>
      <c r="AT35" s="7">
        <v>-2.7636510223532822</v>
      </c>
      <c r="AU35" s="7">
        <v>-6.2205004072655274</v>
      </c>
      <c r="AV35" s="7">
        <v>-4.5410150461009753</v>
      </c>
      <c r="AW35" s="7">
        <v>-6.2227951519357596</v>
      </c>
      <c r="AX35" s="7">
        <v>-5.6401041272515968</v>
      </c>
      <c r="AZ35" s="6"/>
      <c r="BA35" s="7"/>
      <c r="BB35" s="7"/>
      <c r="BC35" s="7"/>
      <c r="BD35" s="7"/>
      <c r="BE35" s="7"/>
    </row>
    <row r="36" spans="1:57">
      <c r="A36" s="6">
        <v>2052</v>
      </c>
      <c r="B36" s="7">
        <v>25040</v>
      </c>
      <c r="C36" s="7">
        <v>12520</v>
      </c>
      <c r="D36" s="7">
        <v>7512</v>
      </c>
      <c r="E36" s="8">
        <v>3756</v>
      </c>
      <c r="F36" s="8">
        <v>0</v>
      </c>
      <c r="G36" s="9">
        <v>-251.46171688906981</v>
      </c>
      <c r="H36" s="9">
        <v>-285.54239793779306</v>
      </c>
      <c r="I36" s="9">
        <v>-270.68539647085106</v>
      </c>
      <c r="J36" s="9">
        <v>-304.76607751957431</v>
      </c>
      <c r="K36" s="9">
        <v>-260.45751689699392</v>
      </c>
      <c r="L36" s="9">
        <v>-316.00448843543518</v>
      </c>
      <c r="M36" s="9">
        <v>-279.68119647877518</v>
      </c>
      <c r="N36" s="9">
        <v>-335.22816801721643</v>
      </c>
      <c r="O36" s="7">
        <v>36427.360835617626</v>
      </c>
      <c r="P36" s="7">
        <v>26111.742979481543</v>
      </c>
      <c r="Q36" s="7">
        <v>66293.66466637142</v>
      </c>
      <c r="R36" s="7">
        <v>33554.420596459386</v>
      </c>
      <c r="S36" s="7">
        <v>-26.334459986470574</v>
      </c>
      <c r="T36" s="7">
        <v>-13.6594299503054</v>
      </c>
      <c r="U36" s="7">
        <v>-40.156435565884976</v>
      </c>
      <c r="V36" s="7">
        <v>-19.797232774065929</v>
      </c>
      <c r="W36" s="7">
        <v>-6.5552784572181881</v>
      </c>
      <c r="X36" s="7">
        <v>-4.7408207540255809</v>
      </c>
      <c r="Y36" s="7">
        <v>-11.109471455349345</v>
      </c>
      <c r="Z36" s="7">
        <v>-5.9143846054722831</v>
      </c>
      <c r="AA36" s="7">
        <v>0</v>
      </c>
      <c r="AB36" s="7">
        <v>0</v>
      </c>
      <c r="AC36" s="7">
        <v>0</v>
      </c>
      <c r="AD36" s="7">
        <v>0</v>
      </c>
      <c r="AE36" s="7">
        <v>-17.611038151175002</v>
      </c>
      <c r="AF36" s="7">
        <v>-9.5501772757852716</v>
      </c>
      <c r="AG36" s="7">
        <v>-26.495545798907067</v>
      </c>
      <c r="AH36" s="7">
        <v>-13.417641753577541</v>
      </c>
      <c r="AI36" s="7">
        <v>-38.28486554603262</v>
      </c>
      <c r="AJ36" s="7">
        <v>-20.761254947359287</v>
      </c>
      <c r="AK36" s="7">
        <v>-57.599012606319711</v>
      </c>
      <c r="AL36" s="7">
        <v>-29.168786420820744</v>
      </c>
      <c r="AM36" s="7">
        <v>33103.858512382496</v>
      </c>
      <c r="AN36" s="7">
        <v>23940.929511700484</v>
      </c>
      <c r="AO36" s="7">
        <v>56102.326332191056</v>
      </c>
      <c r="AP36" s="7">
        <v>29867.373666145224</v>
      </c>
      <c r="AQ36" s="7">
        <v>-3.3006202129770963</v>
      </c>
      <c r="AR36" s="7">
        <v>-2.387030376964097</v>
      </c>
      <c r="AS36" s="7">
        <v>-5.5936824469511084</v>
      </c>
      <c r="AT36" s="7">
        <v>-2.977926491383009</v>
      </c>
      <c r="AU36" s="7">
        <v>-7.1752613325589056</v>
      </c>
      <c r="AV36" s="7">
        <v>-5.1891964716610799</v>
      </c>
      <c r="AW36" s="7">
        <v>-12.160179232502413</v>
      </c>
      <c r="AX36" s="7">
        <v>-6.4737532421369774</v>
      </c>
      <c r="AZ36" s="6"/>
      <c r="BA36" s="7"/>
      <c r="BB36" s="7"/>
      <c r="BC36" s="7"/>
      <c r="BD36" s="7"/>
      <c r="BE36" s="7"/>
    </row>
    <row r="37" spans="1:57">
      <c r="A37" s="6">
        <v>2053</v>
      </c>
      <c r="B37" s="7">
        <v>26040</v>
      </c>
      <c r="C37" s="7">
        <v>13020</v>
      </c>
      <c r="D37" s="7">
        <v>7812</v>
      </c>
      <c r="E37" s="8">
        <v>3906</v>
      </c>
      <c r="F37" s="8">
        <v>0</v>
      </c>
      <c r="G37" s="9">
        <v>-236.40765884076637</v>
      </c>
      <c r="H37" s="9">
        <v>-294.80012249239752</v>
      </c>
      <c r="I37" s="9">
        <v>-256.32651995379763</v>
      </c>
      <c r="J37" s="9">
        <v>-314.71898360542878</v>
      </c>
      <c r="K37" s="9">
        <v>-224.92106317283688</v>
      </c>
      <c r="L37" s="9">
        <v>-315.95615174268613</v>
      </c>
      <c r="M37" s="9">
        <v>-244.83992428586814</v>
      </c>
      <c r="N37" s="9">
        <v>-335.87501285571739</v>
      </c>
      <c r="O37" s="7">
        <v>70325.006465368686</v>
      </c>
      <c r="P37" s="7">
        <v>52008.900961189473</v>
      </c>
      <c r="Q37" s="7">
        <v>71520.431929594779</v>
      </c>
      <c r="R37" s="7">
        <v>63041.18135138815</v>
      </c>
      <c r="S37" s="7">
        <v>-37.038454980960807</v>
      </c>
      <c r="T37" s="7">
        <v>-14.458364734122711</v>
      </c>
      <c r="U37" s="7">
        <v>-60.506507342275626</v>
      </c>
      <c r="V37" s="7">
        <v>-25.671453798121117</v>
      </c>
      <c r="W37" s="7">
        <v>-12.140018339116976</v>
      </c>
      <c r="X37" s="7">
        <v>-8.853155268251923</v>
      </c>
      <c r="Y37" s="7">
        <v>-13.154586856546469</v>
      </c>
      <c r="Z37" s="7">
        <v>-10.717862209710837</v>
      </c>
      <c r="AA37" s="7">
        <v>0</v>
      </c>
      <c r="AB37" s="7">
        <v>0</v>
      </c>
      <c r="AC37" s="7">
        <v>0</v>
      </c>
      <c r="AD37" s="7">
        <v>0</v>
      </c>
      <c r="AE37" s="7">
        <v>-22.871748033118799</v>
      </c>
      <c r="AF37" s="7">
        <v>-9.5624279000492454</v>
      </c>
      <c r="AG37" s="7">
        <v>-36.819837971904555</v>
      </c>
      <c r="AH37" s="7">
        <v>-16.131534897977762</v>
      </c>
      <c r="AI37" s="7">
        <v>-53.190111704927432</v>
      </c>
      <c r="AJ37" s="7">
        <v>-22.238204418719171</v>
      </c>
      <c r="AK37" s="7">
        <v>-85.627530167219888</v>
      </c>
      <c r="AL37" s="7">
        <v>-37.515197437157582</v>
      </c>
      <c r="AM37" s="7">
        <v>58079.881226580001</v>
      </c>
      <c r="AN37" s="7">
        <v>42354.977735391396</v>
      </c>
      <c r="AO37" s="7">
        <v>62933.746957463125</v>
      </c>
      <c r="AP37" s="7">
        <v>51276.048087760442</v>
      </c>
      <c r="AQ37" s="7">
        <v>-5.4131901300203236</v>
      </c>
      <c r="AR37" s="7">
        <v>-3.9475898123828168</v>
      </c>
      <c r="AS37" s="7">
        <v>-5.8655825508029578</v>
      </c>
      <c r="AT37" s="7">
        <v>-4.7790558718994935</v>
      </c>
      <c r="AU37" s="7">
        <v>-12.588814255861216</v>
      </c>
      <c r="AV37" s="7">
        <v>-9.1804414241460854</v>
      </c>
      <c r="AW37" s="7">
        <v>-13.640889653030133</v>
      </c>
      <c r="AX37" s="7">
        <v>-11.114083423022077</v>
      </c>
      <c r="AZ37" s="6"/>
      <c r="BA37" s="7"/>
      <c r="BB37" s="7"/>
      <c r="BC37" s="7"/>
      <c r="BD37" s="7"/>
      <c r="BE37" s="7"/>
    </row>
    <row r="38" spans="1:57">
      <c r="A38" s="6">
        <v>2054</v>
      </c>
      <c r="B38" s="7">
        <v>27040</v>
      </c>
      <c r="C38" s="7">
        <v>13520</v>
      </c>
      <c r="D38" s="7">
        <v>8112</v>
      </c>
      <c r="E38" s="8">
        <v>4056</v>
      </c>
      <c r="F38" s="8">
        <v>0</v>
      </c>
      <c r="G38" s="9">
        <v>-239.47514831497779</v>
      </c>
      <c r="H38" s="9">
        <v>-304.45911416825658</v>
      </c>
      <c r="I38" s="9">
        <v>-260.08919095925904</v>
      </c>
      <c r="J38" s="9">
        <v>-325.07315681253783</v>
      </c>
      <c r="K38" s="9">
        <v>-224.68031199607063</v>
      </c>
      <c r="L38" s="9">
        <v>-325.49499396696353</v>
      </c>
      <c r="M38" s="9">
        <v>-245.29435464035188</v>
      </c>
      <c r="N38" s="9">
        <v>-346.10903661124479</v>
      </c>
      <c r="O38" s="7">
        <v>72906.617083103512</v>
      </c>
      <c r="P38" s="7">
        <v>54674.131862649803</v>
      </c>
      <c r="Q38" s="7">
        <v>73489.931271706155</v>
      </c>
      <c r="R38" s="7">
        <v>65788.451156079711</v>
      </c>
      <c r="S38" s="7">
        <v>-36.856621702997636</v>
      </c>
      <c r="T38" s="7">
        <v>-14.837879429805268</v>
      </c>
      <c r="U38" s="7">
        <v>-59.917480954608912</v>
      </c>
      <c r="V38" s="7">
        <v>-25.816848704990338</v>
      </c>
      <c r="W38" s="7">
        <v>-13.69504083181014</v>
      </c>
      <c r="X38" s="7">
        <v>-9.9259546141719532</v>
      </c>
      <c r="Y38" s="7">
        <v>-15.00754268144631</v>
      </c>
      <c r="Z38" s="7">
        <v>-12.061078142558889</v>
      </c>
      <c r="AA38" s="7">
        <v>0</v>
      </c>
      <c r="AB38" s="7">
        <v>0</v>
      </c>
      <c r="AC38" s="7">
        <v>0</v>
      </c>
      <c r="AD38" s="7">
        <v>0</v>
      </c>
      <c r="AE38" s="7">
        <v>-21.642866980333416</v>
      </c>
      <c r="AF38" s="7">
        <v>-9.2752336582968073</v>
      </c>
      <c r="AG38" s="7">
        <v>-34.696874610356069</v>
      </c>
      <c r="AH38" s="7">
        <v>-15.403024804239962</v>
      </c>
      <c r="AI38" s="7">
        <v>-54.107167450833536</v>
      </c>
      <c r="AJ38" s="7">
        <v>-23.188084145742017</v>
      </c>
      <c r="AK38" s="7">
        <v>-86.742186525890162</v>
      </c>
      <c r="AL38" s="7">
        <v>-38.507562010599905</v>
      </c>
      <c r="AM38" s="7">
        <v>62243.400837763802</v>
      </c>
      <c r="AN38" s="7">
        <v>45113.058028443658</v>
      </c>
      <c r="AO38" s="7">
        <v>68208.668099870425</v>
      </c>
      <c r="AP38" s="7">
        <v>54817.107198333048</v>
      </c>
      <c r="AQ38" s="7">
        <v>-5.3965028526341223</v>
      </c>
      <c r="AR38" s="7">
        <v>-3.9113021310660652</v>
      </c>
      <c r="AS38" s="7">
        <v>-5.9136915242587653</v>
      </c>
      <c r="AT38" s="7">
        <v>-4.7526431940954756</v>
      </c>
      <c r="AU38" s="7">
        <v>-13.491257131585304</v>
      </c>
      <c r="AV38" s="7">
        <v>-9.7782553276651623</v>
      </c>
      <c r="AW38" s="7">
        <v>-14.784228810646914</v>
      </c>
      <c r="AX38" s="7">
        <v>-11.881607985238688</v>
      </c>
      <c r="AZ38" s="6"/>
      <c r="BA38" s="7"/>
      <c r="BB38" s="7"/>
      <c r="BC38" s="7"/>
      <c r="BD38" s="7"/>
      <c r="BE38" s="7"/>
    </row>
    <row r="39" spans="1:57">
      <c r="A39" s="6">
        <v>2055</v>
      </c>
      <c r="B39" s="7">
        <v>28040</v>
      </c>
      <c r="C39" s="7">
        <v>14020</v>
      </c>
      <c r="D39" s="7">
        <v>8412</v>
      </c>
      <c r="E39" s="8">
        <v>4206</v>
      </c>
      <c r="F39" s="8">
        <v>0</v>
      </c>
      <c r="G39" s="9">
        <v>-242.3014120917324</v>
      </c>
      <c r="H39" s="9">
        <v>-287.84915134453792</v>
      </c>
      <c r="I39" s="9">
        <v>-263.61063626726366</v>
      </c>
      <c r="J39" s="9">
        <v>-309.15837552006917</v>
      </c>
      <c r="K39" s="9">
        <v>-225.43713771429248</v>
      </c>
      <c r="L39" s="9">
        <v>-309.20040442844441</v>
      </c>
      <c r="M39" s="9">
        <v>-246.74636188982373</v>
      </c>
      <c r="N39" s="9">
        <v>-330.50962860397567</v>
      </c>
      <c r="O39" s="7">
        <v>78775.826394788761</v>
      </c>
      <c r="P39" s="7">
        <v>57347.682754773923</v>
      </c>
      <c r="Q39" s="7">
        <v>77344.292999842262</v>
      </c>
      <c r="R39" s="7">
        <v>73115.135654966783</v>
      </c>
      <c r="S39" s="7">
        <v>-37.171208803988513</v>
      </c>
      <c r="T39" s="7">
        <v>-28.066600909544622</v>
      </c>
      <c r="U39" s="7">
        <v>-59.888915559055384</v>
      </c>
      <c r="V39" s="7">
        <v>-38.944492803344708</v>
      </c>
      <c r="W39" s="7">
        <v>-15.855456429123125</v>
      </c>
      <c r="X39" s="7">
        <v>-11.164221521939025</v>
      </c>
      <c r="Y39" s="7">
        <v>-17.265525993753336</v>
      </c>
      <c r="Z39" s="7">
        <v>-14.297745430492082</v>
      </c>
      <c r="AA39" s="7">
        <v>0</v>
      </c>
      <c r="AB39" s="7">
        <v>0</v>
      </c>
      <c r="AC39" s="7">
        <v>0</v>
      </c>
      <c r="AD39" s="7">
        <v>0</v>
      </c>
      <c r="AE39" s="7">
        <v>-20.598275874853002</v>
      </c>
      <c r="AF39" s="7">
        <v>-15.190524848843612</v>
      </c>
      <c r="AG39" s="7">
        <v>-32.772645145143606</v>
      </c>
      <c r="AH39" s="7">
        <v>-20.936429202978509</v>
      </c>
      <c r="AI39" s="7">
        <v>-55.671015877981084</v>
      </c>
      <c r="AJ39" s="7">
        <v>-41.055472564442198</v>
      </c>
      <c r="AK39" s="7">
        <v>-88.574716608496232</v>
      </c>
      <c r="AL39" s="7">
        <v>-56.584943791833808</v>
      </c>
      <c r="AM39" s="7">
        <v>68630.858502082192</v>
      </c>
      <c r="AN39" s="7">
        <v>48324.695727505641</v>
      </c>
      <c r="AO39" s="7">
        <v>74734.3904439615</v>
      </c>
      <c r="AP39" s="7">
        <v>61888.255814352655</v>
      </c>
      <c r="AQ39" s="7">
        <v>-5.5040232747207369</v>
      </c>
      <c r="AR39" s="7">
        <v>-3.8755197856066341</v>
      </c>
      <c r="AS39" s="7">
        <v>-5.9935112776296027</v>
      </c>
      <c r="AT39" s="7">
        <v>-4.9632833956715476</v>
      </c>
      <c r="AU39" s="7">
        <v>-14.875738580326315</v>
      </c>
      <c r="AV39" s="7">
        <v>-10.474377798936848</v>
      </c>
      <c r="AW39" s="7">
        <v>-16.198679128728656</v>
      </c>
      <c r="AX39" s="7">
        <v>-13.414279447760938</v>
      </c>
      <c r="AZ39" s="6"/>
      <c r="BA39" s="7"/>
      <c r="BB39" s="7"/>
      <c r="BC39" s="7"/>
      <c r="BD39" s="7"/>
      <c r="BE39" s="7"/>
    </row>
    <row r="40" spans="1:57">
      <c r="A40" s="6">
        <v>2056</v>
      </c>
      <c r="B40" s="7">
        <v>29040</v>
      </c>
      <c r="C40" s="7">
        <v>14520</v>
      </c>
      <c r="D40" s="7">
        <v>8712</v>
      </c>
      <c r="E40" s="8">
        <v>4356</v>
      </c>
      <c r="F40" s="8">
        <v>0</v>
      </c>
      <c r="G40" s="9">
        <v>-238.67024144382964</v>
      </c>
      <c r="H40" s="9">
        <v>-285.12045912471308</v>
      </c>
      <c r="I40" s="9">
        <v>-260.67464715061089</v>
      </c>
      <c r="J40" s="9">
        <v>-307.12486483149434</v>
      </c>
      <c r="K40" s="9">
        <v>-228.70138490570466</v>
      </c>
      <c r="L40" s="9">
        <v>-311.44562007431989</v>
      </c>
      <c r="M40" s="9">
        <v>-250.70579061248591</v>
      </c>
      <c r="N40" s="9">
        <v>-333.45002578110115</v>
      </c>
      <c r="O40" s="7">
        <v>78308.681952178318</v>
      </c>
      <c r="P40" s="7">
        <v>55686.161513522209</v>
      </c>
      <c r="Q40" s="7">
        <v>81670.534810157711</v>
      </c>
      <c r="R40" s="7">
        <v>75040.616848373946</v>
      </c>
      <c r="S40" s="7">
        <v>-41.168032782535406</v>
      </c>
      <c r="T40" s="7">
        <v>-31.992826885404209</v>
      </c>
      <c r="U40" s="7">
        <v>-59.408760208237332</v>
      </c>
      <c r="V40" s="7">
        <v>-40.600712170306991</v>
      </c>
      <c r="W40" s="7">
        <v>-17.154471676518156</v>
      </c>
      <c r="X40" s="7">
        <v>-11.900173964672266</v>
      </c>
      <c r="Y40" s="7">
        <v>-19.739645069716833</v>
      </c>
      <c r="Z40" s="7">
        <v>-15.923694589426699</v>
      </c>
      <c r="AA40" s="7">
        <v>0</v>
      </c>
      <c r="AB40" s="7">
        <v>0</v>
      </c>
      <c r="AC40" s="7">
        <v>0</v>
      </c>
      <c r="AD40" s="7">
        <v>0</v>
      </c>
      <c r="AE40" s="7">
        <v>-21.11020212781866</v>
      </c>
      <c r="AF40" s="7">
        <v>-16.013014298822167</v>
      </c>
      <c r="AG40" s="7">
        <v>-30.535782207879919</v>
      </c>
      <c r="AH40" s="7">
        <v>-20.393033722721341</v>
      </c>
      <c r="AI40" s="7">
        <v>-62.088829787701947</v>
      </c>
      <c r="AJ40" s="7">
        <v>-47.097100878888732</v>
      </c>
      <c r="AK40" s="7">
        <v>-89.811124140823296</v>
      </c>
      <c r="AL40" s="7">
        <v>-59.979510949180423</v>
      </c>
      <c r="AM40" s="7">
        <v>70878.520575754985</v>
      </c>
      <c r="AN40" s="7">
        <v>49168.912987548523</v>
      </c>
      <c r="AO40" s="7">
        <v>81559.890949436885</v>
      </c>
      <c r="AP40" s="7">
        <v>65793.219160673107</v>
      </c>
      <c r="AQ40" s="7">
        <v>-5.2233925738302638</v>
      </c>
      <c r="AR40" s="7">
        <v>-3.6235030426173882</v>
      </c>
      <c r="AS40" s="7">
        <v>-6.0105561635187508</v>
      </c>
      <c r="AT40" s="7">
        <v>-4.8486312860458041</v>
      </c>
      <c r="AU40" s="7">
        <v>-15.362919334794894</v>
      </c>
      <c r="AV40" s="7">
        <v>-10.657361890051144</v>
      </c>
      <c r="AW40" s="7">
        <v>-17.678106363290446</v>
      </c>
      <c r="AX40" s="7">
        <v>-14.260680253075897</v>
      </c>
      <c r="AZ40" s="6"/>
      <c r="BA40" s="7"/>
      <c r="BB40" s="7"/>
      <c r="BC40" s="7"/>
      <c r="BD40" s="7"/>
      <c r="BE40" s="7"/>
    </row>
    <row r="41" spans="1:57">
      <c r="A41" s="6">
        <v>2057</v>
      </c>
      <c r="B41" s="7">
        <v>30040</v>
      </c>
      <c r="C41" s="7">
        <v>15020</v>
      </c>
      <c r="D41" s="7">
        <v>9012</v>
      </c>
      <c r="E41" s="8">
        <v>4506</v>
      </c>
      <c r="F41" s="8">
        <v>0</v>
      </c>
      <c r="G41" s="9">
        <v>-242.35943119893386</v>
      </c>
      <c r="H41" s="9">
        <v>-288.4199055543171</v>
      </c>
      <c r="I41" s="9">
        <v>-265.05901843696512</v>
      </c>
      <c r="J41" s="9">
        <v>-311.11949279234835</v>
      </c>
      <c r="K41" s="9">
        <v>-234.45541051417359</v>
      </c>
      <c r="L41" s="9">
        <v>-316.9010154945218</v>
      </c>
      <c r="M41" s="9">
        <v>-257.15499775220485</v>
      </c>
      <c r="N41" s="9">
        <v>-339.60060273255306</v>
      </c>
      <c r="O41" s="7">
        <v>84017.500710861699</v>
      </c>
      <c r="P41" s="7">
        <v>59634.789018424664</v>
      </c>
      <c r="Q41" s="7">
        <v>84837.967793195392</v>
      </c>
      <c r="R41" s="7">
        <v>76934.962511312377</v>
      </c>
      <c r="S41" s="7">
        <v>-41.090780071620543</v>
      </c>
      <c r="T41" s="7">
        <v>-32.467425049243644</v>
      </c>
      <c r="U41" s="7">
        <v>-58.42272111436727</v>
      </c>
      <c r="V41" s="7">
        <v>-40.715081475267063</v>
      </c>
      <c r="W41" s="7">
        <v>-19.590656992206352</v>
      </c>
      <c r="X41" s="7">
        <v>-13.649796753462802</v>
      </c>
      <c r="Y41" s="7">
        <v>-22.153120746443069</v>
      </c>
      <c r="Z41" s="7">
        <v>-17.644518352662899</v>
      </c>
      <c r="AA41" s="7">
        <v>0</v>
      </c>
      <c r="AB41" s="7">
        <v>0</v>
      </c>
      <c r="AC41" s="7">
        <v>0</v>
      </c>
      <c r="AD41" s="7">
        <v>0</v>
      </c>
      <c r="AE41" s="7">
        <v>-19.613929891041931</v>
      </c>
      <c r="AF41" s="7">
        <v>-15.103114563268418</v>
      </c>
      <c r="AG41" s="7">
        <v>-28.013419678554179</v>
      </c>
      <c r="AH41" s="7">
        <v>-19.032937847106616</v>
      </c>
      <c r="AI41" s="7">
        <v>-63.270741584006217</v>
      </c>
      <c r="AJ41" s="7">
        <v>-48.71972439764005</v>
      </c>
      <c r="AK41" s="7">
        <v>-90.365869930819912</v>
      </c>
      <c r="AL41" s="7">
        <v>-61.396573700343914</v>
      </c>
      <c r="AM41" s="7">
        <v>77424.987236109955</v>
      </c>
      <c r="AN41" s="7">
        <v>53945.885522511453</v>
      </c>
      <c r="AO41" s="7">
        <v>87552.198566679406</v>
      </c>
      <c r="AP41" s="7">
        <v>69733.578041089262</v>
      </c>
      <c r="AQ41" s="7">
        <v>-5.2023784548623189</v>
      </c>
      <c r="AR41" s="7">
        <v>-3.6247589129713513</v>
      </c>
      <c r="AS41" s="7">
        <v>-5.8828511021916068</v>
      </c>
      <c r="AT41" s="7">
        <v>-4.6855734425258904</v>
      </c>
      <c r="AU41" s="7">
        <v>-16.781865983426833</v>
      </c>
      <c r="AV41" s="7">
        <v>-11.692770687004357</v>
      </c>
      <c r="AW41" s="7">
        <v>-18.97693903932776</v>
      </c>
      <c r="AX41" s="7">
        <v>-15.114753040406098</v>
      </c>
      <c r="AZ41" s="6"/>
      <c r="BA41" s="7"/>
      <c r="BB41" s="7"/>
      <c r="BC41" s="7"/>
      <c r="BD41" s="7"/>
      <c r="BE41" s="7"/>
    </row>
    <row r="42" spans="1:57">
      <c r="A42" s="6">
        <v>2058</v>
      </c>
      <c r="B42" s="7">
        <v>31040</v>
      </c>
      <c r="C42" s="7">
        <v>15520</v>
      </c>
      <c r="D42" s="7">
        <v>9312</v>
      </c>
      <c r="E42" s="8">
        <v>4656</v>
      </c>
      <c r="F42" s="8">
        <v>0</v>
      </c>
      <c r="G42" s="9">
        <v>-238.86211356085778</v>
      </c>
      <c r="H42" s="9">
        <v>-284.97974796293437</v>
      </c>
      <c r="I42" s="9">
        <v>-262.25688233013904</v>
      </c>
      <c r="J42" s="9">
        <v>-308.37451673221562</v>
      </c>
      <c r="K42" s="9">
        <v>-240.82480169670896</v>
      </c>
      <c r="L42" s="9">
        <v>-323.71131914952656</v>
      </c>
      <c r="M42" s="9">
        <v>-264.21957046599022</v>
      </c>
      <c r="N42" s="9">
        <v>-347.10608791880782</v>
      </c>
      <c r="O42" s="7">
        <v>108420.00782990757</v>
      </c>
      <c r="P42" s="7">
        <v>77816.793517550454</v>
      </c>
      <c r="Q42" s="7">
        <v>126346.94271731892</v>
      </c>
      <c r="R42" s="7">
        <v>110179.67972101895</v>
      </c>
      <c r="S42" s="7">
        <v>-45.065041774005486</v>
      </c>
      <c r="T42" s="7">
        <v>-36.698280931561676</v>
      </c>
      <c r="U42" s="7">
        <v>-57.705243762829923</v>
      </c>
      <c r="V42" s="7">
        <v>-40.399226267546346</v>
      </c>
      <c r="W42" s="7">
        <v>-25.538656905855468</v>
      </c>
      <c r="X42" s="7">
        <v>-18.083821772648474</v>
      </c>
      <c r="Y42" s="7">
        <v>-31.521808329217524</v>
      </c>
      <c r="Z42" s="7">
        <v>-25.041600142094044</v>
      </c>
      <c r="AA42" s="7">
        <v>0</v>
      </c>
      <c r="AB42" s="7">
        <v>0</v>
      </c>
      <c r="AC42" s="7">
        <v>0</v>
      </c>
      <c r="AD42" s="7">
        <v>0</v>
      </c>
      <c r="AE42" s="7">
        <v>-19.538446981882846</v>
      </c>
      <c r="AF42" s="7">
        <v>-15.483662698542194</v>
      </c>
      <c r="AG42" s="7">
        <v>-25.547790167651595</v>
      </c>
      <c r="AH42" s="7">
        <v>-17.43012737138756</v>
      </c>
      <c r="AI42" s="7">
        <v>-69.780167792438732</v>
      </c>
      <c r="AJ42" s="7">
        <v>-55.298795351936398</v>
      </c>
      <c r="AK42" s="7">
        <v>-91.242107741612827</v>
      </c>
      <c r="AL42" s="7">
        <v>-62.250454897812709</v>
      </c>
      <c r="AM42" s="7">
        <v>96726.793185665141</v>
      </c>
      <c r="AN42" s="7">
        <v>68491.859029922023</v>
      </c>
      <c r="AO42" s="7">
        <v>119387.77541583752</v>
      </c>
      <c r="AP42" s="7">
        <v>94844.20762264503</v>
      </c>
      <c r="AQ42" s="7">
        <v>-5.8703490784380179</v>
      </c>
      <c r="AR42" s="7">
        <v>-4.1567709245259676</v>
      </c>
      <c r="AS42" s="7">
        <v>-7.2456440899871799</v>
      </c>
      <c r="AT42" s="7">
        <v>-5.756094960618328</v>
      </c>
      <c r="AU42" s="7">
        <v>-20.965532422992919</v>
      </c>
      <c r="AV42" s="7">
        <v>-14.845610444735598</v>
      </c>
      <c r="AW42" s="7">
        <v>-25.877300321382783</v>
      </c>
      <c r="AX42" s="7">
        <v>-20.55748200220831</v>
      </c>
      <c r="AZ42" s="6"/>
      <c r="BA42" s="7"/>
      <c r="BB42" s="7"/>
      <c r="BC42" s="7"/>
      <c r="BD42" s="7"/>
      <c r="BE42" s="7"/>
    </row>
    <row r="43" spans="1:57">
      <c r="A43" s="6">
        <v>2059</v>
      </c>
      <c r="B43" s="7">
        <v>32040</v>
      </c>
      <c r="C43" s="7">
        <v>16020</v>
      </c>
      <c r="D43" s="7">
        <v>9612</v>
      </c>
      <c r="E43" s="8">
        <v>4806</v>
      </c>
      <c r="F43" s="8">
        <v>0</v>
      </c>
      <c r="G43" s="9">
        <v>-242.74533534989416</v>
      </c>
      <c r="H43" s="9">
        <v>-288.71070353119717</v>
      </c>
      <c r="I43" s="9">
        <v>-266.83528565042542</v>
      </c>
      <c r="J43" s="9">
        <v>-312.80065383172843</v>
      </c>
      <c r="K43" s="9">
        <v>-248.50752815731698</v>
      </c>
      <c r="L43" s="9">
        <v>-331.5832529924229</v>
      </c>
      <c r="M43" s="9">
        <v>-272.59747845784824</v>
      </c>
      <c r="N43" s="9">
        <v>-355.67320329295416</v>
      </c>
      <c r="O43" s="7">
        <v>110109.38113171974</v>
      </c>
      <c r="P43" s="7">
        <v>78773.892814951949</v>
      </c>
      <c r="Q43" s="7">
        <v>126622.66063261997</v>
      </c>
      <c r="R43" s="7">
        <v>110374.10255044528</v>
      </c>
      <c r="S43" s="7">
        <v>-44.958204361666965</v>
      </c>
      <c r="T43" s="7">
        <v>-36.829453828623379</v>
      </c>
      <c r="U43" s="7">
        <v>-56.648831122290318</v>
      </c>
      <c r="V43" s="7">
        <v>-39.751727693022971</v>
      </c>
      <c r="W43" s="7">
        <v>-27.725732014852991</v>
      </c>
      <c r="X43" s="7">
        <v>-19.676496714703923</v>
      </c>
      <c r="Y43" s="7">
        <v>-33.913493456566677</v>
      </c>
      <c r="Z43" s="7">
        <v>-26.841529773547823</v>
      </c>
      <c r="AA43" s="7">
        <v>0</v>
      </c>
      <c r="AB43" s="7">
        <v>0</v>
      </c>
      <c r="AC43" s="7">
        <v>0</v>
      </c>
      <c r="AD43" s="7">
        <v>0</v>
      </c>
      <c r="AE43" s="7">
        <v>-17.760925197366763</v>
      </c>
      <c r="AF43" s="7">
        <v>-14.153919059792841</v>
      </c>
      <c r="AG43" s="7">
        <v>-22.912247732561454</v>
      </c>
      <c r="AH43" s="7">
        <v>-15.664353088619412</v>
      </c>
      <c r="AI43" s="7">
        <v>-71.043700789467053</v>
      </c>
      <c r="AJ43" s="7">
        <v>-56.615676239171364</v>
      </c>
      <c r="AK43" s="7">
        <v>-91.648990930245816</v>
      </c>
      <c r="AL43" s="7">
        <v>-62.65741235447765</v>
      </c>
      <c r="AM43" s="7">
        <v>100809.85504256086</v>
      </c>
      <c r="AN43" s="7">
        <v>71543.098681473886</v>
      </c>
      <c r="AO43" s="7">
        <v>123308.35332000701</v>
      </c>
      <c r="AP43" s="7">
        <v>97594.924604420201</v>
      </c>
      <c r="AQ43" s="7">
        <v>-5.4626340201187666</v>
      </c>
      <c r="AR43" s="7">
        <v>-3.8767416598023665</v>
      </c>
      <c r="AS43" s="7">
        <v>-6.6817713955278801</v>
      </c>
      <c r="AT43" s="7">
        <v>-5.2884249770020197</v>
      </c>
      <c r="AU43" s="7">
        <v>-21.850536080475067</v>
      </c>
      <c r="AV43" s="7">
        <v>-15.506966639209466</v>
      </c>
      <c r="AW43" s="7">
        <v>-26.727085582111521</v>
      </c>
      <c r="AX43" s="7">
        <v>-21.153699908008079</v>
      </c>
      <c r="AZ43" s="6"/>
      <c r="BA43" s="7"/>
      <c r="BB43" s="7"/>
      <c r="BC43" s="7"/>
      <c r="BD43" s="7"/>
      <c r="BE43" s="7"/>
    </row>
    <row r="44" spans="1:57">
      <c r="A44" s="6">
        <v>2060</v>
      </c>
      <c r="B44" s="7">
        <v>33040</v>
      </c>
      <c r="C44" s="7">
        <v>16520</v>
      </c>
      <c r="D44" s="7">
        <v>9912</v>
      </c>
      <c r="E44" s="8">
        <v>4956</v>
      </c>
      <c r="F44" s="8">
        <v>0</v>
      </c>
      <c r="G44" s="9">
        <v>-247.57861439309863</v>
      </c>
      <c r="H44" s="9">
        <v>-293.27510494747594</v>
      </c>
      <c r="I44" s="9">
        <v>-272.36374622487989</v>
      </c>
      <c r="J44" s="9">
        <v>-318.0602367792572</v>
      </c>
      <c r="K44" s="9">
        <v>-216.02613121320485</v>
      </c>
      <c r="L44" s="9">
        <v>-303.90632948828232</v>
      </c>
      <c r="M44" s="9">
        <v>-240.81126304498611</v>
      </c>
      <c r="N44" s="9">
        <v>-328.69146132006358</v>
      </c>
      <c r="O44" s="7">
        <v>124303.87092255292</v>
      </c>
      <c r="P44" s="7">
        <v>75889.573023395118</v>
      </c>
      <c r="Q44" s="7">
        <v>129111.48700084357</v>
      </c>
      <c r="R44" s="7">
        <v>96595.357837653442</v>
      </c>
      <c r="S44" s="7">
        <v>-44.715392303441568</v>
      </c>
      <c r="T44" s="7">
        <v>-36.872174369220623</v>
      </c>
      <c r="U44" s="7">
        <v>-76.102818205790769</v>
      </c>
      <c r="V44" s="7">
        <v>-57.184146425512388</v>
      </c>
      <c r="W44" s="7">
        <v>-32.415217097492629</v>
      </c>
      <c r="X44" s="7">
        <v>-20.595298484674586</v>
      </c>
      <c r="Y44" s="7">
        <v>-36.992055176559376</v>
      </c>
      <c r="Z44" s="7">
        <v>-26.159910631172025</v>
      </c>
      <c r="AA44" s="7">
        <v>0</v>
      </c>
      <c r="AB44" s="7">
        <v>0</v>
      </c>
      <c r="AC44" s="7">
        <v>0</v>
      </c>
      <c r="AD44" s="7">
        <v>0</v>
      </c>
      <c r="AE44" s="7">
        <v>-15.867333343851479</v>
      </c>
      <c r="AF44" s="7">
        <v>-12.720324393492701</v>
      </c>
      <c r="AG44" s="7">
        <v>-26.181694640051383</v>
      </c>
      <c r="AH44" s="7">
        <v>-19.102914793311136</v>
      </c>
      <c r="AI44" s="7">
        <v>-72.124242472052188</v>
      </c>
      <c r="AJ44" s="7">
        <v>-57.81965633405774</v>
      </c>
      <c r="AK44" s="7">
        <v>-119.00770290932448</v>
      </c>
      <c r="AL44" s="7">
        <v>-86.831430878686987</v>
      </c>
      <c r="AM44" s="7">
        <v>113327.56679651585</v>
      </c>
      <c r="AN44" s="7">
        <v>72003.684494733214</v>
      </c>
      <c r="AO44" s="7">
        <v>129328.75295430946</v>
      </c>
      <c r="AP44" s="7">
        <v>91458.249701938665</v>
      </c>
      <c r="AQ44" s="7">
        <v>-5.404025022691858</v>
      </c>
      <c r="AR44" s="7">
        <v>-3.4334956951313531</v>
      </c>
      <c r="AS44" s="7">
        <v>-6.1670415846262463</v>
      </c>
      <c r="AT44" s="7">
        <v>-4.361186637036945</v>
      </c>
      <c r="AU44" s="7">
        <v>-24.563750103144809</v>
      </c>
      <c r="AV44" s="7">
        <v>-15.606798614233425</v>
      </c>
      <c r="AW44" s="7">
        <v>-28.032007202846579</v>
      </c>
      <c r="AX44" s="7">
        <v>-19.823575622895206</v>
      </c>
      <c r="AZ44" s="6"/>
      <c r="BA44" s="7"/>
      <c r="BB44" s="7"/>
      <c r="BC44" s="7"/>
      <c r="BD44" s="7"/>
      <c r="BE44" s="7"/>
    </row>
    <row r="45" spans="1:57">
      <c r="A45" s="6">
        <v>2061</v>
      </c>
      <c r="B45" s="7">
        <v>34040</v>
      </c>
      <c r="C45" s="7">
        <v>17020</v>
      </c>
      <c r="D45" s="7">
        <v>10212</v>
      </c>
      <c r="E45" s="8">
        <v>5106</v>
      </c>
      <c r="F45" s="8">
        <v>0</v>
      </c>
      <c r="G45" s="9">
        <v>-231.67375926089005</v>
      </c>
      <c r="H45" s="9">
        <v>-284.81920831278973</v>
      </c>
      <c r="I45" s="9">
        <v>-257.15407262392131</v>
      </c>
      <c r="J45" s="9">
        <v>-310.29952167582098</v>
      </c>
      <c r="K45" s="9">
        <v>-214.99363269191554</v>
      </c>
      <c r="L45" s="9">
        <v>-302.97964341403468</v>
      </c>
      <c r="M45" s="9">
        <v>-240.47394605494679</v>
      </c>
      <c r="N45" s="9">
        <v>-328.45995677706594</v>
      </c>
      <c r="O45" s="7">
        <v>141986.12191960571</v>
      </c>
      <c r="P45" s="7">
        <v>76309.251430779201</v>
      </c>
      <c r="Q45" s="7">
        <v>149015.91245360783</v>
      </c>
      <c r="R45" s="7">
        <v>106019.38074965325</v>
      </c>
      <c r="S45" s="7">
        <v>-55.201326544385921</v>
      </c>
      <c r="T45" s="7">
        <v>-43.738633794580075</v>
      </c>
      <c r="U45" s="7">
        <v>-76.823919626450518</v>
      </c>
      <c r="V45" s="7">
        <v>-58.400352936408943</v>
      </c>
      <c r="W45" s="7">
        <v>-38.179822947051044</v>
      </c>
      <c r="X45" s="7">
        <v>-22.254464404574126</v>
      </c>
      <c r="Y45" s="7">
        <v>-43.892938985236384</v>
      </c>
      <c r="Z45" s="7">
        <v>-30.179747178785746</v>
      </c>
      <c r="AA45" s="7">
        <v>0</v>
      </c>
      <c r="AB45" s="7">
        <v>0</v>
      </c>
      <c r="AC45" s="7">
        <v>0</v>
      </c>
      <c r="AD45" s="7">
        <v>0</v>
      </c>
      <c r="AE45" s="7">
        <v>-16.589359399143646</v>
      </c>
      <c r="AF45" s="7">
        <v>-12.920464258545353</v>
      </c>
      <c r="AG45" s="7">
        <v>-23.242148270147482</v>
      </c>
      <c r="AH45" s="7">
        <v>-17.140725296702602</v>
      </c>
      <c r="AI45" s="7">
        <v>-87.312417890229739</v>
      </c>
      <c r="AJ45" s="7">
        <v>-68.002443466028197</v>
      </c>
      <c r="AK45" s="7">
        <v>-122.32709615867098</v>
      </c>
      <c r="AL45" s="7">
        <v>-90.214343666855825</v>
      </c>
      <c r="AM45" s="7">
        <v>128537.58134157056</v>
      </c>
      <c r="AN45" s="7">
        <v>74922.689730204162</v>
      </c>
      <c r="AO45" s="7">
        <v>147771.56570264263</v>
      </c>
      <c r="AP45" s="7">
        <v>101604.23512809491</v>
      </c>
      <c r="AQ45" s="7">
        <v>-5.2934989435992286</v>
      </c>
      <c r="AR45" s="7">
        <v>-3.0855036698141318</v>
      </c>
      <c r="AS45" s="7">
        <v>-6.0856025045490787</v>
      </c>
      <c r="AT45" s="7">
        <v>-4.184316413162767</v>
      </c>
      <c r="AU45" s="7">
        <v>-27.860520755785419</v>
      </c>
      <c r="AV45" s="7">
        <v>-16.239492999021753</v>
      </c>
      <c r="AW45" s="7">
        <v>-32.02948686604779</v>
      </c>
      <c r="AX45" s="7">
        <v>-22.022717964014571</v>
      </c>
      <c r="AZ45" s="6"/>
      <c r="BA45" s="7"/>
      <c r="BB45" s="7"/>
      <c r="BC45" s="7"/>
      <c r="BD45" s="7"/>
      <c r="BE45" s="7"/>
    </row>
    <row r="46" spans="1:57">
      <c r="A46" s="6">
        <v>2062</v>
      </c>
      <c r="B46" s="7">
        <v>35040</v>
      </c>
      <c r="C46" s="7">
        <v>17520</v>
      </c>
      <c r="D46" s="7">
        <v>10512</v>
      </c>
      <c r="E46" s="8">
        <v>5256</v>
      </c>
      <c r="F46" s="8">
        <v>0</v>
      </c>
      <c r="G46" s="9">
        <v>-223.47472207789454</v>
      </c>
      <c r="H46" s="9">
        <v>-287.76880714159802</v>
      </c>
      <c r="I46" s="9">
        <v>-249.6502169721758</v>
      </c>
      <c r="J46" s="9">
        <v>-313.94430203587928</v>
      </c>
      <c r="K46" s="9">
        <v>-205.26174018457857</v>
      </c>
      <c r="L46" s="9">
        <v>-307.00333892209352</v>
      </c>
      <c r="M46" s="9">
        <v>-231.43723507885983</v>
      </c>
      <c r="N46" s="9">
        <v>-333.17883381637478</v>
      </c>
      <c r="O46" s="7">
        <v>141618.59784047524</v>
      </c>
      <c r="P46" s="7">
        <v>78972.376535758653</v>
      </c>
      <c r="Q46" s="7">
        <v>154008.91351778351</v>
      </c>
      <c r="R46" s="7">
        <v>112681.90410659561</v>
      </c>
      <c r="S46" s="7">
        <v>-60.158898226235173</v>
      </c>
      <c r="T46" s="7">
        <v>-43.888072438498625</v>
      </c>
      <c r="U46" s="7">
        <v>-82.132591324437612</v>
      </c>
      <c r="V46" s="7">
        <v>-57.351361027963264</v>
      </c>
      <c r="W46" s="7">
        <v>-40.678532887382111</v>
      </c>
      <c r="X46" s="7">
        <v>-24.514921670165815</v>
      </c>
      <c r="Y46" s="7">
        <v>-48.157058093414811</v>
      </c>
      <c r="Z46" s="7">
        <v>-33.849144390757061</v>
      </c>
      <c r="AA46" s="7">
        <v>0</v>
      </c>
      <c r="AB46" s="7">
        <v>0</v>
      </c>
      <c r="AC46" s="7">
        <v>0</v>
      </c>
      <c r="AD46" s="7">
        <v>0</v>
      </c>
      <c r="AE46" s="7">
        <v>-15.288677235963986</v>
      </c>
      <c r="AF46" s="7">
        <v>-11.129886772347001</v>
      </c>
      <c r="AG46" s="7">
        <v>-21.072597371661427</v>
      </c>
      <c r="AH46" s="7">
        <v>-14.504638054055526</v>
      </c>
      <c r="AI46" s="7">
        <v>-95.554232724774891</v>
      </c>
      <c r="AJ46" s="7">
        <v>-69.561792327168746</v>
      </c>
      <c r="AK46" s="7">
        <v>-131.70373357288389</v>
      </c>
      <c r="AL46" s="7">
        <v>-90.653987837847026</v>
      </c>
      <c r="AM46" s="7">
        <v>132058.76383058267</v>
      </c>
      <c r="AN46" s="7">
        <v>79585.226441877356</v>
      </c>
      <c r="AO46" s="7">
        <v>156337.04340174369</v>
      </c>
      <c r="AP46" s="7">
        <v>109887.84126855351</v>
      </c>
      <c r="AQ46" s="7">
        <v>-4.5797979296446076</v>
      </c>
      <c r="AR46" s="7">
        <v>-2.7600156530043067</v>
      </c>
      <c r="AS46" s="7">
        <v>-5.4217686651724728</v>
      </c>
      <c r="AT46" s="7">
        <v>-3.8109103351934364</v>
      </c>
      <c r="AU46" s="7">
        <v>-28.623737060278792</v>
      </c>
      <c r="AV46" s="7">
        <v>-17.250097831276914</v>
      </c>
      <c r="AW46" s="7">
        <v>-33.886054157327948</v>
      </c>
      <c r="AX46" s="7">
        <v>-23.818189594958977</v>
      </c>
      <c r="AZ46" s="6"/>
      <c r="BA46" s="7"/>
      <c r="BB46" s="7"/>
      <c r="BC46" s="7"/>
      <c r="BD46" s="7"/>
      <c r="BE46" s="7"/>
    </row>
    <row r="47" spans="1:57">
      <c r="A47" s="6">
        <v>2063</v>
      </c>
      <c r="B47" s="7">
        <v>36040</v>
      </c>
      <c r="C47" s="7">
        <v>18020</v>
      </c>
      <c r="D47" s="7">
        <v>10812</v>
      </c>
      <c r="E47" s="8">
        <v>5406</v>
      </c>
      <c r="F47" s="8">
        <v>0</v>
      </c>
      <c r="G47" s="9">
        <v>-207.87734513897695</v>
      </c>
      <c r="H47" s="9">
        <v>-281.30547895071703</v>
      </c>
      <c r="I47" s="9">
        <v>-234.74802156450821</v>
      </c>
      <c r="J47" s="9">
        <v>-308.17615537624829</v>
      </c>
      <c r="K47" s="9">
        <v>-201.32906925996087</v>
      </c>
      <c r="L47" s="9">
        <v>-305.58711606698705</v>
      </c>
      <c r="M47" s="9">
        <v>-228.19974568549213</v>
      </c>
      <c r="N47" s="9">
        <v>-332.45779249251831</v>
      </c>
      <c r="O47" s="7">
        <v>139269.18037196741</v>
      </c>
      <c r="P47" s="7">
        <v>76474.554931949941</v>
      </c>
      <c r="Q47" s="7">
        <v>158413.12402677804</v>
      </c>
      <c r="R47" s="7">
        <v>136825.58063429248</v>
      </c>
      <c r="S47" s="7">
        <v>-68.489887253646188</v>
      </c>
      <c r="T47" s="7">
        <v>-48.998093950803685</v>
      </c>
      <c r="U47" s="7">
        <v>-84.856514136439017</v>
      </c>
      <c r="V47" s="7">
        <v>-60.050735914851153</v>
      </c>
      <c r="W47" s="7">
        <v>-42.966261679124138</v>
      </c>
      <c r="X47" s="7">
        <v>-25.8204860320166</v>
      </c>
      <c r="Y47" s="7">
        <v>-52.565894616098056</v>
      </c>
      <c r="Z47" s="7">
        <v>-41.485155420842048</v>
      </c>
      <c r="AA47" s="7">
        <v>0</v>
      </c>
      <c r="AB47" s="7">
        <v>0</v>
      </c>
      <c r="AC47" s="7">
        <v>0</v>
      </c>
      <c r="AD47" s="7">
        <v>0</v>
      </c>
      <c r="AE47" s="7">
        <v>-14.090533390713153</v>
      </c>
      <c r="AF47" s="7">
        <v>-10.094734094836568</v>
      </c>
      <c r="AG47" s="7">
        <v>-17.919778365385376</v>
      </c>
      <c r="AH47" s="7">
        <v>-12.478910253640652</v>
      </c>
      <c r="AI47" s="7">
        <v>-108.38871839010118</v>
      </c>
      <c r="AJ47" s="7">
        <v>-77.651800729512061</v>
      </c>
      <c r="AK47" s="7">
        <v>-137.8444489645029</v>
      </c>
      <c r="AL47" s="7">
        <v>-95.991617335697327</v>
      </c>
      <c r="AM47" s="7">
        <v>134675.79532233218</v>
      </c>
      <c r="AN47" s="7">
        <v>80933.140470550949</v>
      </c>
      <c r="AO47" s="7">
        <v>164765.40866231621</v>
      </c>
      <c r="AP47" s="7">
        <v>130033.33504080531</v>
      </c>
      <c r="AQ47" s="7">
        <v>-3.794827222695015</v>
      </c>
      <c r="AR47" s="7">
        <v>-2.2804935656089493</v>
      </c>
      <c r="AS47" s="7">
        <v>-4.6426773025824151</v>
      </c>
      <c r="AT47" s="7">
        <v>-3.6640142981122916</v>
      </c>
      <c r="AU47" s="7">
        <v>-29.190978636115499</v>
      </c>
      <c r="AV47" s="7">
        <v>-17.54225819699192</v>
      </c>
      <c r="AW47" s="7">
        <v>-35.712902327557039</v>
      </c>
      <c r="AX47" s="7">
        <v>-28.184725370094551</v>
      </c>
      <c r="AZ47" s="6"/>
      <c r="BA47" s="7"/>
      <c r="BB47" s="7"/>
      <c r="BC47" s="7"/>
      <c r="BD47" s="7"/>
      <c r="BE47" s="7"/>
    </row>
    <row r="48" spans="1:57">
      <c r="A48" s="6">
        <v>2064</v>
      </c>
      <c r="B48" s="7">
        <v>37040</v>
      </c>
      <c r="C48" s="7">
        <v>18520</v>
      </c>
      <c r="D48" s="7">
        <v>11112</v>
      </c>
      <c r="E48" s="8">
        <v>5556</v>
      </c>
      <c r="F48" s="8">
        <v>0</v>
      </c>
      <c r="G48" s="9">
        <v>-199.70309307132482</v>
      </c>
      <c r="H48" s="9">
        <v>-285.47980235905226</v>
      </c>
      <c r="I48" s="9">
        <v>-227.26895102810607</v>
      </c>
      <c r="J48" s="9">
        <v>-313.04566031583352</v>
      </c>
      <c r="K48" s="9">
        <v>-192.16465889824394</v>
      </c>
      <c r="L48" s="9">
        <v>-311.0299544664158</v>
      </c>
      <c r="M48" s="9">
        <v>-219.7305168550252</v>
      </c>
      <c r="N48" s="9">
        <v>-338.59581242319706</v>
      </c>
      <c r="O48" s="7">
        <v>145898.60463835928</v>
      </c>
      <c r="P48" s="7">
        <v>89761.868213843147</v>
      </c>
      <c r="Q48" s="7">
        <v>181331.2729631383</v>
      </c>
      <c r="R48" s="7">
        <v>149270.43277991726</v>
      </c>
      <c r="S48" s="7">
        <v>-71.942905225941999</v>
      </c>
      <c r="T48" s="7">
        <v>-48.06983211454088</v>
      </c>
      <c r="U48" s="7">
        <v>-89.909872669850813</v>
      </c>
      <c r="V48" s="7">
        <v>-59.138696342892423</v>
      </c>
      <c r="W48" s="7">
        <v>-47.440147677265919</v>
      </c>
      <c r="X48" s="7">
        <v>-30.719552836223542</v>
      </c>
      <c r="Y48" s="7">
        <v>-61.371343564244775</v>
      </c>
      <c r="Z48" s="7">
        <v>-46.97467536278328</v>
      </c>
      <c r="AA48" s="7">
        <v>0</v>
      </c>
      <c r="AB48" s="7">
        <v>0</v>
      </c>
      <c r="AC48" s="7">
        <v>0</v>
      </c>
      <c r="AD48" s="7">
        <v>0</v>
      </c>
      <c r="AE48" s="7">
        <v>-11.506488316552653</v>
      </c>
      <c r="AF48" s="7">
        <v>-7.7956332734747216</v>
      </c>
      <c r="AG48" s="7">
        <v>-14.713395425703924</v>
      </c>
      <c r="AH48" s="7">
        <v>-9.6661190754587256</v>
      </c>
      <c r="AI48" s="7">
        <v>-115.06488316552657</v>
      </c>
      <c r="AJ48" s="7">
        <v>-77.956332734747235</v>
      </c>
      <c r="AK48" s="7">
        <v>-147.13395425703928</v>
      </c>
      <c r="AL48" s="7">
        <v>-96.661190754587281</v>
      </c>
      <c r="AM48" s="7">
        <v>143742.35481504007</v>
      </c>
      <c r="AN48" s="7">
        <v>93079.408048720928</v>
      </c>
      <c r="AO48" s="7">
        <v>185953.49875596788</v>
      </c>
      <c r="AP48" s="7">
        <v>142331.98638532701</v>
      </c>
      <c r="AQ48" s="7">
        <v>-3.1156155406159929</v>
      </c>
      <c r="AR48" s="7">
        <v>-2.0174961694560261</v>
      </c>
      <c r="AS48" s="7">
        <v>-4.0305420855356031</v>
      </c>
      <c r="AT48" s="7">
        <v>-3.085045804901962</v>
      </c>
      <c r="AU48" s="7">
        <v>-31.156155406159936</v>
      </c>
      <c r="AV48" s="7">
        <v>-20.174961694560263</v>
      </c>
      <c r="AW48" s="7">
        <v>-40.30542085535604</v>
      </c>
      <c r="AX48" s="7">
        <v>-30.850458049019633</v>
      </c>
      <c r="AZ48" s="6"/>
      <c r="BA48" s="7"/>
      <c r="BB48" s="7"/>
      <c r="BC48" s="7"/>
      <c r="BD48" s="7"/>
      <c r="BE48" s="7"/>
    </row>
    <row r="49" spans="1:57">
      <c r="A49" s="6">
        <v>2065</v>
      </c>
      <c r="B49" s="7">
        <v>38040</v>
      </c>
      <c r="C49" s="7">
        <v>19020</v>
      </c>
      <c r="D49" s="7">
        <v>11412</v>
      </c>
      <c r="E49" s="8">
        <v>5706</v>
      </c>
      <c r="F49" s="8">
        <v>0</v>
      </c>
      <c r="G49" s="9">
        <v>-194.91504775988952</v>
      </c>
      <c r="H49" s="9">
        <v>-274.81177821773286</v>
      </c>
      <c r="I49" s="9">
        <v>-223.17608724792078</v>
      </c>
      <c r="J49" s="9">
        <v>-303.07281770576412</v>
      </c>
      <c r="K49" s="9">
        <v>-179.55537382856974</v>
      </c>
      <c r="L49" s="9">
        <v>-293.48122619627077</v>
      </c>
      <c r="M49" s="9">
        <v>-207.816413316601</v>
      </c>
      <c r="N49" s="9">
        <v>-321.74226568430203</v>
      </c>
      <c r="O49" s="7">
        <v>152566.8292368908</v>
      </c>
      <c r="P49" s="7">
        <v>103251.66426940163</v>
      </c>
      <c r="Q49" s="7">
        <v>180403.73826147447</v>
      </c>
      <c r="R49" s="7">
        <v>143524.97607669365</v>
      </c>
      <c r="S49" s="7">
        <v>-73.870805140682279</v>
      </c>
      <c r="T49" s="7">
        <v>-55.174686978130218</v>
      </c>
      <c r="U49" s="7">
        <v>-96.56433114854326</v>
      </c>
      <c r="V49" s="7">
        <v>-70.558605695768307</v>
      </c>
      <c r="W49" s="7">
        <v>-50.498525499494008</v>
      </c>
      <c r="X49" s="7">
        <v>-34.840135828957152</v>
      </c>
      <c r="Y49" s="7">
        <v>-63.17367865248503</v>
      </c>
      <c r="Z49" s="7">
        <v>-47.091832487054752</v>
      </c>
      <c r="AA49" s="7">
        <v>0</v>
      </c>
      <c r="AB49" s="7">
        <v>0</v>
      </c>
      <c r="AC49" s="7">
        <v>0</v>
      </c>
      <c r="AD49" s="7">
        <v>0</v>
      </c>
      <c r="AE49" s="7">
        <v>-11.984135818874577</v>
      </c>
      <c r="AF49" s="7">
        <v>-8.8800309622917482</v>
      </c>
      <c r="AG49" s="7">
        <v>-15.868682877873589</v>
      </c>
      <c r="AH49" s="7">
        <v>-11.352658111095479</v>
      </c>
      <c r="AI49" s="7">
        <v>-119.8413581887458</v>
      </c>
      <c r="AJ49" s="7">
        <v>-88.80030962291751</v>
      </c>
      <c r="AK49" s="7">
        <v>-158.68682877873593</v>
      </c>
      <c r="AL49" s="7">
        <v>-113.52658111095482</v>
      </c>
      <c r="AM49" s="7">
        <v>153009.15628184564</v>
      </c>
      <c r="AN49" s="7">
        <v>105564.66223923802</v>
      </c>
      <c r="AO49" s="7">
        <v>191414.5249633879</v>
      </c>
      <c r="AP49" s="7">
        <v>142686.96927957734</v>
      </c>
      <c r="AQ49" s="7">
        <v>-3.3164734624090038</v>
      </c>
      <c r="AR49" s="7">
        <v>-2.2881140540354838</v>
      </c>
      <c r="AS49" s="7">
        <v>-4.1489098285814316</v>
      </c>
      <c r="AT49" s="7">
        <v>-3.0927400591348384</v>
      </c>
      <c r="AU49" s="7">
        <v>-33.164734624090045</v>
      </c>
      <c r="AV49" s="7">
        <v>-22.881140540354842</v>
      </c>
      <c r="AW49" s="7">
        <v>-41.489098285814329</v>
      </c>
      <c r="AX49" s="7">
        <v>-30.927400591348391</v>
      </c>
      <c r="AZ49" s="6"/>
      <c r="BA49" s="7"/>
      <c r="BB49" s="7"/>
      <c r="BC49" s="7"/>
      <c r="BD49" s="7"/>
      <c r="BE49" s="7"/>
    </row>
    <row r="50" spans="1:57">
      <c r="A50" s="6">
        <v>2066</v>
      </c>
      <c r="B50" s="7">
        <v>39040</v>
      </c>
      <c r="C50" s="7">
        <v>19520</v>
      </c>
      <c r="D50" s="7">
        <v>11712</v>
      </c>
      <c r="E50" s="8">
        <v>5856</v>
      </c>
      <c r="F50" s="8">
        <v>0</v>
      </c>
      <c r="G50" s="9">
        <v>-199.15920954859033</v>
      </c>
      <c r="H50" s="9">
        <v>-279.57055603719425</v>
      </c>
      <c r="I50" s="9">
        <v>-228.11543056787158</v>
      </c>
      <c r="J50" s="9">
        <v>-308.52677705647551</v>
      </c>
      <c r="K50" s="9">
        <v>-184.15431427345902</v>
      </c>
      <c r="L50" s="9">
        <v>-296.3354642693206</v>
      </c>
      <c r="M50" s="9">
        <v>-213.11053529274028</v>
      </c>
      <c r="N50" s="9">
        <v>-325.29168528860185</v>
      </c>
      <c r="O50" s="7">
        <v>161064.42595607764</v>
      </c>
      <c r="P50" s="7">
        <v>109582.0546573579</v>
      </c>
      <c r="Q50" s="7">
        <v>207642.51486449191</v>
      </c>
      <c r="R50" s="7">
        <v>164607.78188984853</v>
      </c>
      <c r="S50" s="7">
        <v>-72.240549963135905</v>
      </c>
      <c r="T50" s="7">
        <v>-53.780678211373719</v>
      </c>
      <c r="U50" s="7">
        <v>-94.534360276752068</v>
      </c>
      <c r="V50" s="7">
        <v>-69.991983373734442</v>
      </c>
      <c r="W50" s="7">
        <v>-53.967021769709397</v>
      </c>
      <c r="X50" s="7">
        <v>-37.425431086843744</v>
      </c>
      <c r="Y50" s="7">
        <v>-71.304463552246446</v>
      </c>
      <c r="Z50" s="7">
        <v>-53.306751631084857</v>
      </c>
      <c r="AA50" s="7">
        <v>0</v>
      </c>
      <c r="AB50" s="7">
        <v>0</v>
      </c>
      <c r="AC50" s="7">
        <v>0</v>
      </c>
      <c r="AD50" s="7">
        <v>0</v>
      </c>
      <c r="AE50" s="7">
        <v>-11.999548933458565</v>
      </c>
      <c r="AF50" s="7">
        <v>-8.8683758852123464</v>
      </c>
      <c r="AG50" s="7">
        <v>-15.902029000866328</v>
      </c>
      <c r="AH50" s="7">
        <v>-11.497751803149356</v>
      </c>
      <c r="AI50" s="7">
        <v>-119.99548933458567</v>
      </c>
      <c r="AJ50" s="7">
        <v>-88.683758852123489</v>
      </c>
      <c r="AK50" s="7">
        <v>-159.02029000866332</v>
      </c>
      <c r="AL50" s="7">
        <v>-114.97751803149359</v>
      </c>
      <c r="AM50" s="7">
        <v>163518.60547116306</v>
      </c>
      <c r="AN50" s="7">
        <v>113398.03642662191</v>
      </c>
      <c r="AO50" s="7">
        <v>216050.58166239253</v>
      </c>
      <c r="AP50" s="7">
        <v>161518.00494214267</v>
      </c>
      <c r="AQ50" s="7">
        <v>-3.5442657735874583</v>
      </c>
      <c r="AR50" s="7">
        <v>-2.4579024395470292</v>
      </c>
      <c r="AS50" s="7">
        <v>-4.682896357532357</v>
      </c>
      <c r="AT50" s="7">
        <v>-3.5009027571209419</v>
      </c>
      <c r="AU50" s="7">
        <v>-35.442657735874583</v>
      </c>
      <c r="AV50" s="7">
        <v>-24.579024395470302</v>
      </c>
      <c r="AW50" s="7">
        <v>-46.828963575323584</v>
      </c>
      <c r="AX50" s="7">
        <v>-35.009027571209423</v>
      </c>
      <c r="AZ50" s="6"/>
      <c r="BA50" s="7"/>
      <c r="BB50" s="7"/>
      <c r="BC50" s="7"/>
      <c r="BD50" s="7"/>
      <c r="BE50" s="7"/>
    </row>
    <row r="51" spans="1:57">
      <c r="A51" s="6">
        <v>2067</v>
      </c>
      <c r="B51" s="7">
        <v>40040</v>
      </c>
      <c r="C51" s="7">
        <v>20020</v>
      </c>
      <c r="D51" s="7">
        <v>12012</v>
      </c>
      <c r="E51" s="8">
        <v>6006</v>
      </c>
      <c r="F51" s="8">
        <v>0</v>
      </c>
      <c r="G51" s="9">
        <v>-199.10296940281347</v>
      </c>
      <c r="H51" s="9">
        <v>-269.08565562674539</v>
      </c>
      <c r="I51" s="9">
        <v>-228.7543719533447</v>
      </c>
      <c r="J51" s="9">
        <v>-298.73705817727665</v>
      </c>
      <c r="K51" s="9">
        <v>-177.35946162081106</v>
      </c>
      <c r="L51" s="9">
        <v>-285.87677911748972</v>
      </c>
      <c r="M51" s="9">
        <v>-207.01086417134229</v>
      </c>
      <c r="N51" s="9">
        <v>-315.52818166802098</v>
      </c>
      <c r="O51" s="7">
        <v>175105.40266623496</v>
      </c>
      <c r="P51" s="7">
        <v>116298.02718141171</v>
      </c>
      <c r="Q51" s="7">
        <v>203831.29425340958</v>
      </c>
      <c r="R51" s="7">
        <v>158902.8157215153</v>
      </c>
      <c r="S51" s="7">
        <v>-73.452967767029548</v>
      </c>
      <c r="T51" s="7">
        <v>-60.601615995503842</v>
      </c>
      <c r="U51" s="7">
        <v>-99.222999783768287</v>
      </c>
      <c r="V51" s="7">
        <v>-76.867700513953196</v>
      </c>
      <c r="W51" s="7">
        <v>-58.666235011431375</v>
      </c>
      <c r="X51" s="7">
        <v>-40.155257267677435</v>
      </c>
      <c r="Y51" s="7">
        <v>-72.540656550625854</v>
      </c>
      <c r="Z51" s="7">
        <v>-53.617182535705602</v>
      </c>
      <c r="AA51" s="7">
        <v>0</v>
      </c>
      <c r="AB51" s="7">
        <v>0</v>
      </c>
      <c r="AC51" s="7">
        <v>0</v>
      </c>
      <c r="AD51" s="7">
        <v>0</v>
      </c>
      <c r="AE51" s="7">
        <v>-12.383759369773163</v>
      </c>
      <c r="AF51" s="7">
        <v>-9.9331231651119261</v>
      </c>
      <c r="AG51" s="7">
        <v>-16.81285084901991</v>
      </c>
      <c r="AH51" s="7">
        <v>-12.620159207660668</v>
      </c>
      <c r="AI51" s="7">
        <v>-123.83759369773165</v>
      </c>
      <c r="AJ51" s="7">
        <v>-99.331231651119282</v>
      </c>
      <c r="AK51" s="7">
        <v>-168.12850849019912</v>
      </c>
      <c r="AL51" s="7">
        <v>-126.20159207660672</v>
      </c>
      <c r="AM51" s="7">
        <v>177757.09354962312</v>
      </c>
      <c r="AN51" s="7">
        <v>121669.33537236325</v>
      </c>
      <c r="AO51" s="7">
        <v>219796.21276374921</v>
      </c>
      <c r="AP51" s="7">
        <v>162458.60212453577</v>
      </c>
      <c r="AQ51" s="7">
        <v>-3.8528850026880801</v>
      </c>
      <c r="AR51" s="7">
        <v>-2.6371828441959728</v>
      </c>
      <c r="AS51" s="7">
        <v>-4.7640829116542625</v>
      </c>
      <c r="AT51" s="7">
        <v>-3.5212902010493119</v>
      </c>
      <c r="AU51" s="7">
        <v>-38.528850026880811</v>
      </c>
      <c r="AV51" s="7">
        <v>-26.371828441959735</v>
      </c>
      <c r="AW51" s="7">
        <v>-47.640829116542641</v>
      </c>
      <c r="AX51" s="7">
        <v>-35.212902010493124</v>
      </c>
      <c r="AZ51" s="6"/>
      <c r="BA51" s="7"/>
      <c r="BB51" s="7"/>
      <c r="BC51" s="7"/>
      <c r="BD51" s="7"/>
      <c r="BE51" s="7"/>
    </row>
    <row r="52" spans="1:57">
      <c r="A52" s="6">
        <v>2068</v>
      </c>
      <c r="B52" s="7">
        <v>41040</v>
      </c>
      <c r="C52" s="7">
        <v>20520</v>
      </c>
      <c r="D52" s="7">
        <v>12312</v>
      </c>
      <c r="E52" s="8">
        <v>6156</v>
      </c>
      <c r="F52" s="8">
        <v>0</v>
      </c>
      <c r="G52" s="9">
        <v>-205.78012995347092</v>
      </c>
      <c r="H52" s="9">
        <v>-271.87951564204195</v>
      </c>
      <c r="I52" s="9">
        <v>-236.12671403525215</v>
      </c>
      <c r="J52" s="9">
        <v>-302.22609972382321</v>
      </c>
      <c r="K52" s="9">
        <v>-183.71898552232386</v>
      </c>
      <c r="L52" s="9">
        <v>-289.98778848792665</v>
      </c>
      <c r="M52" s="9">
        <v>-214.06556960410512</v>
      </c>
      <c r="N52" s="9">
        <v>-320.33437256970791</v>
      </c>
      <c r="O52" s="7">
        <v>187792.81759510221</v>
      </c>
      <c r="P52" s="7">
        <v>119079.60125624367</v>
      </c>
      <c r="Q52" s="7">
        <v>225879.38048364519</v>
      </c>
      <c r="R52" s="7">
        <v>176230.96221111802</v>
      </c>
      <c r="S52" s="7">
        <v>-72.169851212658685</v>
      </c>
      <c r="T52" s="7">
        <v>-60.081665003591333</v>
      </c>
      <c r="U52" s="7">
        <v>-97.501628674515743</v>
      </c>
      <c r="V52" s="7">
        <v>-75.523940623964663</v>
      </c>
      <c r="W52" s="7">
        <v>-63.062018488996792</v>
      </c>
      <c r="X52" s="7">
        <v>-42.0752151771024</v>
      </c>
      <c r="Y52" s="7">
        <v>-79.573091622603798</v>
      </c>
      <c r="Z52" s="7">
        <v>-59.121671626089629</v>
      </c>
      <c r="AA52" s="7">
        <v>0</v>
      </c>
      <c r="AB52" s="7">
        <v>0</v>
      </c>
      <c r="AC52" s="7">
        <v>0</v>
      </c>
      <c r="AD52" s="7">
        <v>0</v>
      </c>
      <c r="AE52" s="7">
        <v>-12.443312037796982</v>
      </c>
      <c r="AF52" s="7">
        <v>-10.053278282847499</v>
      </c>
      <c r="AG52" s="7">
        <v>-16.894826700900492</v>
      </c>
      <c r="AH52" s="7">
        <v>-12.6825233289854</v>
      </c>
      <c r="AI52" s="7">
        <v>-124.43312037796984</v>
      </c>
      <c r="AJ52" s="7">
        <v>-100.53278282847501</v>
      </c>
      <c r="AK52" s="7">
        <v>-168.94826700900495</v>
      </c>
      <c r="AL52" s="7">
        <v>-126.82523328985403</v>
      </c>
      <c r="AM52" s="7">
        <v>191076.19771052981</v>
      </c>
      <c r="AN52" s="7">
        <v>127486.75552299149</v>
      </c>
      <c r="AO52" s="7">
        <v>241104.29941235812</v>
      </c>
      <c r="AP52" s="7">
        <v>179137.05408232065</v>
      </c>
      <c r="AQ52" s="7">
        <v>-4.1415765853757334</v>
      </c>
      <c r="AR52" s="7">
        <v>-2.7632754259608401</v>
      </c>
      <c r="AS52" s="7">
        <v>-5.2259356897628617</v>
      </c>
      <c r="AT52" s="7">
        <v>-3.8827956472342988</v>
      </c>
      <c r="AU52" s="7">
        <v>-41.415765853757335</v>
      </c>
      <c r="AV52" s="7">
        <v>-27.632754259608408</v>
      </c>
      <c r="AW52" s="7">
        <v>-52.259356897628628</v>
      </c>
      <c r="AX52" s="7">
        <v>-38.827956472343004</v>
      </c>
      <c r="AZ52" s="6"/>
      <c r="BA52" s="7"/>
      <c r="BB52" s="7"/>
      <c r="BC52" s="7"/>
      <c r="BD52" s="7"/>
      <c r="BE52" s="7"/>
    </row>
    <row r="53" spans="1:57">
      <c r="A53" s="6">
        <v>2069</v>
      </c>
      <c r="B53" s="7">
        <v>42040</v>
      </c>
      <c r="C53" s="7">
        <v>21020</v>
      </c>
      <c r="D53" s="7">
        <v>12612</v>
      </c>
      <c r="E53" s="8">
        <v>6306</v>
      </c>
      <c r="F53" s="8">
        <v>0</v>
      </c>
      <c r="G53" s="9">
        <v>-212.55054576589907</v>
      </c>
      <c r="H53" s="9">
        <v>-269.17673843129609</v>
      </c>
      <c r="I53" s="9">
        <v>-243.5923113789303</v>
      </c>
      <c r="J53" s="9">
        <v>-300.21850404432735</v>
      </c>
      <c r="K53" s="9">
        <v>-189.87627301524327</v>
      </c>
      <c r="L53" s="9">
        <v>-294.27898905783064</v>
      </c>
      <c r="M53" s="9">
        <v>-220.9180386282745</v>
      </c>
      <c r="N53" s="9">
        <v>-325.3207546708619</v>
      </c>
      <c r="O53" s="7">
        <v>183486.36839113044</v>
      </c>
      <c r="P53" s="7">
        <v>112078.37494585603</v>
      </c>
      <c r="Q53" s="7">
        <v>248074.14000063794</v>
      </c>
      <c r="R53" s="7">
        <v>186881.52377571643</v>
      </c>
      <c r="S53" s="7">
        <v>-71.183240017724117</v>
      </c>
      <c r="T53" s="7">
        <v>-62.719899993024647</v>
      </c>
      <c r="U53" s="7">
        <v>-96.424106361689795</v>
      </c>
      <c r="V53" s="7">
        <v>-74.596349945744606</v>
      </c>
      <c r="W53" s="7">
        <v>-63.643646703538444</v>
      </c>
      <c r="X53" s="7">
        <v>-41.836514139390438</v>
      </c>
      <c r="Y53" s="7">
        <v>-86.606921039352159</v>
      </c>
      <c r="Z53" s="7">
        <v>-63.111970565914902</v>
      </c>
      <c r="AA53" s="7">
        <v>0</v>
      </c>
      <c r="AB53" s="7">
        <v>0</v>
      </c>
      <c r="AC53" s="7">
        <v>0</v>
      </c>
      <c r="AD53" s="7">
        <v>0</v>
      </c>
      <c r="AE53" s="7">
        <v>-12.537751513555181</v>
      </c>
      <c r="AF53" s="7">
        <v>-10.587239035099515</v>
      </c>
      <c r="AG53" s="7">
        <v>-17.055980798477211</v>
      </c>
      <c r="AH53" s="7">
        <v>-12.79531970708039</v>
      </c>
      <c r="AI53" s="7">
        <v>-125.37751513555183</v>
      </c>
      <c r="AJ53" s="7">
        <v>-105.87239035099518</v>
      </c>
      <c r="AK53" s="7">
        <v>-170.55980798477214</v>
      </c>
      <c r="AL53" s="7">
        <v>-127.95319707080392</v>
      </c>
      <c r="AM53" s="7">
        <v>192838.51535241076</v>
      </c>
      <c r="AN53" s="7">
        <v>126763.4978828397</v>
      </c>
      <c r="AO53" s="7">
        <v>262416.61088762828</v>
      </c>
      <c r="AP53" s="7">
        <v>191227.55114249967</v>
      </c>
      <c r="AQ53" s="7">
        <v>-4.1797748202635026</v>
      </c>
      <c r="AR53" s="7">
        <v>-2.7475988166105498</v>
      </c>
      <c r="AS53" s="7">
        <v>-5.6878800409893424</v>
      </c>
      <c r="AT53" s="7">
        <v>-4.1448571710136797</v>
      </c>
      <c r="AU53" s="7">
        <v>-41.797748202635034</v>
      </c>
      <c r="AV53" s="7">
        <v>-27.475988166105509</v>
      </c>
      <c r="AW53" s="7">
        <v>-56.878800409893437</v>
      </c>
      <c r="AX53" s="7">
        <v>-41.448571710136804</v>
      </c>
      <c r="AZ53" s="6"/>
      <c r="BA53" s="7"/>
      <c r="BB53" s="7"/>
      <c r="BC53" s="7"/>
      <c r="BD53" s="7"/>
      <c r="BE53" s="7"/>
    </row>
    <row r="54" spans="1:57">
      <c r="A54" s="6">
        <v>2070</v>
      </c>
      <c r="B54" s="7">
        <v>43040</v>
      </c>
      <c r="C54" s="7">
        <v>21520</v>
      </c>
      <c r="D54" s="7">
        <v>12912</v>
      </c>
      <c r="E54" s="8">
        <v>6456</v>
      </c>
      <c r="F54" s="8">
        <v>0</v>
      </c>
      <c r="G54" s="9">
        <v>-219.66573830598026</v>
      </c>
      <c r="H54" s="9">
        <v>-272.86873293349635</v>
      </c>
      <c r="I54" s="9">
        <v>-251.40268545026149</v>
      </c>
      <c r="J54" s="9">
        <v>-304.60568007777761</v>
      </c>
      <c r="K54" s="9">
        <v>-197.59442079088961</v>
      </c>
      <c r="L54" s="9">
        <v>-301.0809084911192</v>
      </c>
      <c r="M54" s="9">
        <v>-229.33136793517087</v>
      </c>
      <c r="N54" s="9">
        <v>-332.81785563540046</v>
      </c>
      <c r="O54" s="7">
        <v>215075.08230466879</v>
      </c>
      <c r="P54" s="7">
        <v>140444.72676803358</v>
      </c>
      <c r="Q54" s="7">
        <v>253539.67952762247</v>
      </c>
      <c r="R54" s="7">
        <v>191706.32946289435</v>
      </c>
      <c r="S54" s="7">
        <v>-70.334574045537565</v>
      </c>
      <c r="T54" s="7">
        <v>-62.586066913894577</v>
      </c>
      <c r="U54" s="7">
        <v>-94.983782992728891</v>
      </c>
      <c r="V54" s="7">
        <v>-73.488872746725107</v>
      </c>
      <c r="W54" s="7">
        <v>-72.207593242805117</v>
      </c>
      <c r="X54" s="7">
        <v>-49.509462734018499</v>
      </c>
      <c r="Y54" s="7">
        <v>-89.882664728195465</v>
      </c>
      <c r="Z54" s="7">
        <v>-65.780564503412577</v>
      </c>
      <c r="AA54" s="7">
        <v>0</v>
      </c>
      <c r="AB54" s="7">
        <v>0</v>
      </c>
      <c r="AC54" s="7">
        <v>0</v>
      </c>
      <c r="AD54" s="7">
        <v>0</v>
      </c>
      <c r="AE54" s="7">
        <v>-12.647148597237159</v>
      </c>
      <c r="AF54" s="7">
        <v>-10.764638446145074</v>
      </c>
      <c r="AG54" s="7">
        <v>-17.165888136477768</v>
      </c>
      <c r="AH54" s="7">
        <v>-12.881431991406217</v>
      </c>
      <c r="AI54" s="7">
        <v>-126.47148597237161</v>
      </c>
      <c r="AJ54" s="7">
        <v>-107.64638446145077</v>
      </c>
      <c r="AK54" s="7">
        <v>-171.65888136477773</v>
      </c>
      <c r="AL54" s="7">
        <v>-128.8143199140622</v>
      </c>
      <c r="AM54" s="7">
        <v>218787.04001634687</v>
      </c>
      <c r="AN54" s="7">
        <v>150012.32305239391</v>
      </c>
      <c r="AO54" s="7">
        <v>272342.02500750235</v>
      </c>
      <c r="AP54" s="7">
        <v>199313.31805938634</v>
      </c>
      <c r="AQ54" s="7">
        <v>-4.7422090923543179</v>
      </c>
      <c r="AR54" s="7">
        <v>-3.2515171021606375</v>
      </c>
      <c r="AS54" s="7">
        <v>-5.9030133920376118</v>
      </c>
      <c r="AT54" s="7">
        <v>-4.3201161689371972</v>
      </c>
      <c r="AU54" s="7">
        <v>-47.42209092354318</v>
      </c>
      <c r="AV54" s="7">
        <v>-32.515171021606378</v>
      </c>
      <c r="AW54" s="7">
        <v>-59.030133920376137</v>
      </c>
      <c r="AX54" s="7">
        <v>-43.201161689371986</v>
      </c>
      <c r="AZ54" s="6"/>
      <c r="BA54" s="7"/>
      <c r="BB54" s="7"/>
      <c r="BC54" s="7"/>
      <c r="BD54" s="7"/>
      <c r="BE54" s="7"/>
    </row>
    <row r="55" spans="1:57">
      <c r="A55" s="6">
        <v>2071</v>
      </c>
      <c r="B55" s="7">
        <v>44040</v>
      </c>
      <c r="C55" s="7">
        <v>22020</v>
      </c>
      <c r="D55" s="7">
        <v>13212</v>
      </c>
      <c r="E55" s="8">
        <v>6606</v>
      </c>
      <c r="F55" s="8">
        <v>0</v>
      </c>
      <c r="G55" s="9">
        <v>-227.60713251140226</v>
      </c>
      <c r="H55" s="9">
        <v>-278.81663699813771</v>
      </c>
      <c r="I55" s="9">
        <v>-260.03926118693352</v>
      </c>
      <c r="J55" s="9">
        <v>-311.24876567366897</v>
      </c>
      <c r="K55" s="9">
        <v>-205.27781508234739</v>
      </c>
      <c r="L55" s="9">
        <v>-308.00775310311298</v>
      </c>
      <c r="M55" s="9">
        <v>-237.70994375787865</v>
      </c>
      <c r="N55" s="9">
        <v>-340.43988177864424</v>
      </c>
      <c r="O55" s="7">
        <v>187353.90599802948</v>
      </c>
      <c r="P55" s="7">
        <v>114282.78411778512</v>
      </c>
      <c r="Q55" s="7">
        <v>254516.1862570708</v>
      </c>
      <c r="R55" s="7">
        <v>192975.73760334786</v>
      </c>
      <c r="S55" s="7">
        <v>-69.493490157534964</v>
      </c>
      <c r="T55" s="7">
        <v>-61.578334538088377</v>
      </c>
      <c r="U55" s="7">
        <v>-94.051650854169679</v>
      </c>
      <c r="V55" s="7">
        <v>-72.504310842882006</v>
      </c>
      <c r="W55" s="7">
        <v>-67.529253540584648</v>
      </c>
      <c r="X55" s="7">
        <v>-45.012134002484835</v>
      </c>
      <c r="Y55" s="7">
        <v>-92.130956802537924</v>
      </c>
      <c r="Z55" s="7">
        <v>-67.633063881905386</v>
      </c>
      <c r="AA55" s="7">
        <v>0</v>
      </c>
      <c r="AB55" s="7">
        <v>0</v>
      </c>
      <c r="AC55" s="7">
        <v>0</v>
      </c>
      <c r="AD55" s="7">
        <v>0</v>
      </c>
      <c r="AE55" s="7">
        <v>-12.754787204660285</v>
      </c>
      <c r="AF55" s="7">
        <v>-10.826544828774113</v>
      </c>
      <c r="AG55" s="7">
        <v>-17.338016591250483</v>
      </c>
      <c r="AH55" s="7">
        <v>-12.980141850359487</v>
      </c>
      <c r="AI55" s="7">
        <v>-127.54787204660288</v>
      </c>
      <c r="AJ55" s="7">
        <v>-108.26544828774115</v>
      </c>
      <c r="AK55" s="7">
        <v>-173.38016591250488</v>
      </c>
      <c r="AL55" s="7">
        <v>-129.8014185035949</v>
      </c>
      <c r="AM55" s="7">
        <v>204611.79819381511</v>
      </c>
      <c r="AN55" s="7">
        <v>136385.53953886413</v>
      </c>
      <c r="AO55" s="7">
        <v>279154.28873139556</v>
      </c>
      <c r="AP55" s="7">
        <v>204926.34069939723</v>
      </c>
      <c r="AQ55" s="7">
        <v>-4.4349607258509414</v>
      </c>
      <c r="AR55" s="7">
        <v>-2.9561565695048793</v>
      </c>
      <c r="AS55" s="7">
        <v>-6.0506692082529971</v>
      </c>
      <c r="AT55" s="7">
        <v>-4.4417784346594349</v>
      </c>
      <c r="AU55" s="7">
        <v>-44.34960725850943</v>
      </c>
      <c r="AV55" s="7">
        <v>-29.561565695048799</v>
      </c>
      <c r="AW55" s="7">
        <v>-60.50669208252998</v>
      </c>
      <c r="AX55" s="7">
        <v>-44.417784346594352</v>
      </c>
      <c r="AZ55" s="6"/>
      <c r="BA55" s="7"/>
      <c r="BB55" s="7"/>
      <c r="BC55" s="7"/>
      <c r="BD55" s="7"/>
      <c r="BE55" s="7"/>
    </row>
    <row r="56" spans="1:57">
      <c r="A56" s="6">
        <v>2072</v>
      </c>
      <c r="B56" s="7">
        <v>45040</v>
      </c>
      <c r="C56" s="7">
        <v>22520</v>
      </c>
      <c r="D56" s="7">
        <v>13512</v>
      </c>
      <c r="E56" s="8">
        <v>6756</v>
      </c>
      <c r="F56" s="8">
        <v>0</v>
      </c>
      <c r="G56" s="9">
        <v>-235.89740302720901</v>
      </c>
      <c r="H56" s="9">
        <v>-285.29647243552785</v>
      </c>
      <c r="I56" s="9">
        <v>-269.02471323399027</v>
      </c>
      <c r="J56" s="9">
        <v>-318.42378264230911</v>
      </c>
      <c r="K56" s="9">
        <v>-214.246951039576</v>
      </c>
      <c r="L56" s="9">
        <v>-315.91009248989661</v>
      </c>
      <c r="M56" s="9">
        <v>-247.37426124635726</v>
      </c>
      <c r="N56" s="9">
        <v>-349.03740269667787</v>
      </c>
      <c r="O56" s="7">
        <v>205070.15890899175</v>
      </c>
      <c r="P56" s="7">
        <v>130598.95545082068</v>
      </c>
      <c r="Q56" s="7">
        <v>269177.40807193465</v>
      </c>
      <c r="R56" s="7">
        <v>203914.11620248778</v>
      </c>
      <c r="S56" s="7">
        <v>-68.66519802260639</v>
      </c>
      <c r="T56" s="7">
        <v>-60.655317162296505</v>
      </c>
      <c r="U56" s="7">
        <v>-92.802734942264735</v>
      </c>
      <c r="V56" s="7">
        <v>-71.357331108273684</v>
      </c>
      <c r="W56" s="7">
        <v>-72.962552900387664</v>
      </c>
      <c r="X56" s="7">
        <v>-49.96386500150237</v>
      </c>
      <c r="Y56" s="7">
        <v>-97.405754440120603</v>
      </c>
      <c r="Z56" s="7">
        <v>-71.617465617023413</v>
      </c>
      <c r="AA56" s="7">
        <v>0</v>
      </c>
      <c r="AB56" s="7">
        <v>0</v>
      </c>
      <c r="AC56" s="7">
        <v>0</v>
      </c>
      <c r="AD56" s="7">
        <v>0</v>
      </c>
      <c r="AE56" s="7">
        <v>-12.861380496838816</v>
      </c>
      <c r="AF56" s="7">
        <v>-10.896352542460683</v>
      </c>
      <c r="AG56" s="7">
        <v>-17.465419084389012</v>
      </c>
      <c r="AH56" s="7">
        <v>-13.054296900931655</v>
      </c>
      <c r="AI56" s="7">
        <v>-128.61380496838819</v>
      </c>
      <c r="AJ56" s="7">
        <v>-108.96352542460686</v>
      </c>
      <c r="AK56" s="7">
        <v>-174.65419084389015</v>
      </c>
      <c r="AL56" s="7">
        <v>-130.54296900931658</v>
      </c>
      <c r="AM56" s="7">
        <v>221074.54720771412</v>
      </c>
      <c r="AN56" s="7">
        <v>151389.14954133693</v>
      </c>
      <c r="AO56" s="7">
        <v>295136.78184581507</v>
      </c>
      <c r="AP56" s="7">
        <v>216998.9693900001</v>
      </c>
      <c r="AQ56" s="7">
        <v>-4.7917908107272025</v>
      </c>
      <c r="AR56" s="7">
        <v>-3.281359816308477</v>
      </c>
      <c r="AS56" s="7">
        <v>-6.3970897465080396</v>
      </c>
      <c r="AT56" s="7">
        <v>-4.7034526615282513</v>
      </c>
      <c r="AU56" s="7">
        <v>-47.917908107272041</v>
      </c>
      <c r="AV56" s="7">
        <v>-32.813598163084784</v>
      </c>
      <c r="AW56" s="7">
        <v>-63.970897465080419</v>
      </c>
      <c r="AX56" s="7">
        <v>-47.034526615282523</v>
      </c>
      <c r="AZ56" s="6"/>
      <c r="BA56" s="7"/>
      <c r="BB56" s="7"/>
      <c r="BC56" s="7"/>
      <c r="BD56" s="7"/>
      <c r="BE56" s="7"/>
    </row>
    <row r="57" spans="1:57">
      <c r="A57" s="6">
        <v>2073</v>
      </c>
      <c r="B57" s="7">
        <v>46040</v>
      </c>
      <c r="C57" s="7">
        <v>23020</v>
      </c>
      <c r="D57" s="7">
        <v>13812</v>
      </c>
      <c r="E57" s="8">
        <v>6906</v>
      </c>
      <c r="F57" s="8">
        <v>0</v>
      </c>
      <c r="G57" s="9">
        <v>-242.69719992054638</v>
      </c>
      <c r="H57" s="9">
        <v>-292.03956141468461</v>
      </c>
      <c r="I57" s="9">
        <v>-276.51969165857764</v>
      </c>
      <c r="J57" s="9">
        <v>-325.86205315271587</v>
      </c>
      <c r="K57" s="9">
        <v>-218.62182371669832</v>
      </c>
      <c r="L57" s="9">
        <v>-323.39813882793271</v>
      </c>
      <c r="M57" s="9">
        <v>-252.44431545472955</v>
      </c>
      <c r="N57" s="9">
        <v>-357.22063056596397</v>
      </c>
      <c r="O57" s="7">
        <v>209201.29110292208</v>
      </c>
      <c r="P57" s="7">
        <v>132343.73676361304</v>
      </c>
      <c r="Q57" s="7">
        <v>268730.66980194132</v>
      </c>
      <c r="R57" s="7">
        <v>205509.0856768004</v>
      </c>
      <c r="S57" s="7">
        <v>-69.128398515810758</v>
      </c>
      <c r="T57" s="7">
        <v>-59.96268623950408</v>
      </c>
      <c r="U57" s="7">
        <v>-94.268501037484199</v>
      </c>
      <c r="V57" s="7">
        <v>-70.638815041290385</v>
      </c>
      <c r="W57" s="7">
        <v>-75.362480704368025</v>
      </c>
      <c r="X57" s="7">
        <v>-51.648774263408676</v>
      </c>
      <c r="Y57" s="7">
        <v>-99.313808384067343</v>
      </c>
      <c r="Z57" s="7">
        <v>-73.497852116479436</v>
      </c>
      <c r="AA57" s="7">
        <v>0</v>
      </c>
      <c r="AB57" s="7">
        <v>0</v>
      </c>
      <c r="AC57" s="7">
        <v>0</v>
      </c>
      <c r="AD57" s="7">
        <v>0</v>
      </c>
      <c r="AE57" s="7">
        <v>-13.135212785351721</v>
      </c>
      <c r="AF57" s="7">
        <v>-10.993496931180529</v>
      </c>
      <c r="AG57" s="7">
        <v>-17.945963339602386</v>
      </c>
      <c r="AH57" s="7">
        <v>-13.181136399785455</v>
      </c>
      <c r="AI57" s="7">
        <v>-131.35212785351723</v>
      </c>
      <c r="AJ57" s="7">
        <v>-109.9349693118053</v>
      </c>
      <c r="AK57" s="7">
        <v>-179.45963339602392</v>
      </c>
      <c r="AL57" s="7">
        <v>-131.81136399785458</v>
      </c>
      <c r="AM57" s="7">
        <v>228346.26306064648</v>
      </c>
      <c r="AN57" s="7">
        <v>156494.37869457889</v>
      </c>
      <c r="AO57" s="7">
        <v>300918.13330540294</v>
      </c>
      <c r="AP57" s="7">
        <v>222696.4892466625</v>
      </c>
      <c r="AQ57" s="7">
        <v>-4.9494052518395115</v>
      </c>
      <c r="AR57" s="7">
        <v>-3.3920156582049965</v>
      </c>
      <c r="AS57" s="7">
        <v>-6.5224005393946074</v>
      </c>
      <c r="AT57" s="7">
        <v>-4.8269464044214088</v>
      </c>
      <c r="AU57" s="7">
        <v>-49.494052518395115</v>
      </c>
      <c r="AV57" s="7">
        <v>-33.920156582049977</v>
      </c>
      <c r="AW57" s="7">
        <v>-65.224005393946086</v>
      </c>
      <c r="AX57" s="7">
        <v>-48.269464044214097</v>
      </c>
      <c r="AZ57" s="6"/>
      <c r="BA57" s="7"/>
      <c r="BB57" s="7"/>
      <c r="BC57" s="7"/>
      <c r="BD57" s="7"/>
      <c r="BE57" s="7"/>
    </row>
    <row r="58" spans="1:57">
      <c r="A58" s="6">
        <v>2074</v>
      </c>
      <c r="B58" s="7">
        <v>47040</v>
      </c>
      <c r="C58" s="7">
        <v>23520</v>
      </c>
      <c r="D58" s="7">
        <v>14112</v>
      </c>
      <c r="E58" s="8">
        <v>7056</v>
      </c>
      <c r="F58" s="8">
        <v>0</v>
      </c>
      <c r="G58" s="9">
        <v>-251.5614175959297</v>
      </c>
      <c r="H58" s="9">
        <v>-299.29334415641972</v>
      </c>
      <c r="I58" s="9">
        <v>-286.07909086521096</v>
      </c>
      <c r="J58" s="9">
        <v>-333.81101742570098</v>
      </c>
      <c r="K58" s="9">
        <v>-227.70560052237931</v>
      </c>
      <c r="L58" s="9">
        <v>-331.71453879446739</v>
      </c>
      <c r="M58" s="9">
        <v>-262.22327379166057</v>
      </c>
      <c r="N58" s="9">
        <v>-366.23221206374865</v>
      </c>
      <c r="O58" s="7">
        <v>203556.69777743716</v>
      </c>
      <c r="P58" s="7">
        <v>127734.9354253722</v>
      </c>
      <c r="Q58" s="7">
        <v>270629.36928953888</v>
      </c>
      <c r="R58" s="7">
        <v>207560.6169673565</v>
      </c>
      <c r="S58" s="7">
        <v>-68.531648459743835</v>
      </c>
      <c r="T58" s="7">
        <v>-59.340930105852379</v>
      </c>
      <c r="U58" s="7">
        <v>-93.241428918807841</v>
      </c>
      <c r="V58" s="7">
        <v>-69.741101547768523</v>
      </c>
      <c r="W58" s="7">
        <v>-75.580771875836419</v>
      </c>
      <c r="X58" s="7">
        <v>-51.902324181074476</v>
      </c>
      <c r="Y58" s="7">
        <v>-101.74858651237098</v>
      </c>
      <c r="Z58" s="7">
        <v>-75.461853495776225</v>
      </c>
      <c r="AA58" s="7">
        <v>0</v>
      </c>
      <c r="AB58" s="7">
        <v>0</v>
      </c>
      <c r="AC58" s="7">
        <v>0</v>
      </c>
      <c r="AD58" s="7">
        <v>0</v>
      </c>
      <c r="AE58" s="7">
        <v>-13.270946119655147</v>
      </c>
      <c r="AF58" s="7">
        <v>-11.097715501299023</v>
      </c>
      <c r="AG58" s="7">
        <v>-18.102987945289303</v>
      </c>
      <c r="AH58" s="7">
        <v>-13.282054707184368</v>
      </c>
      <c r="AI58" s="7">
        <v>-132.7094611965515</v>
      </c>
      <c r="AJ58" s="7">
        <v>-110.97715501299025</v>
      </c>
      <c r="AK58" s="7">
        <v>-181.02987945289308</v>
      </c>
      <c r="AL58" s="7">
        <v>-132.82054707184372</v>
      </c>
      <c r="AM58" s="7">
        <v>229007.67936220733</v>
      </c>
      <c r="AN58" s="7">
        <v>157262.62803638919</v>
      </c>
      <c r="AO58" s="7">
        <v>308295.44469143468</v>
      </c>
      <c r="AP58" s="7">
        <v>228647.35991090781</v>
      </c>
      <c r="AQ58" s="7">
        <v>-4.9637414501758421</v>
      </c>
      <c r="AR58" s="7">
        <v>-3.4086674626887352</v>
      </c>
      <c r="AS58" s="7">
        <v>-6.6823037636868445</v>
      </c>
      <c r="AT58" s="7">
        <v>-4.9559315260689258</v>
      </c>
      <c r="AU58" s="7">
        <v>-49.637414501758435</v>
      </c>
      <c r="AV58" s="7">
        <v>-34.086674626887351</v>
      </c>
      <c r="AW58" s="7">
        <v>-66.823037636868463</v>
      </c>
      <c r="AX58" s="7">
        <v>-49.55931526068926</v>
      </c>
      <c r="AZ58" s="6"/>
      <c r="BA58" s="7"/>
      <c r="BB58" s="7"/>
      <c r="BC58" s="7"/>
      <c r="BD58" s="7"/>
      <c r="BE58" s="7"/>
    </row>
    <row r="59" spans="1:57">
      <c r="A59" s="6">
        <v>2075</v>
      </c>
      <c r="B59" s="7">
        <v>48040</v>
      </c>
      <c r="C59" s="7">
        <v>24020</v>
      </c>
      <c r="D59" s="7">
        <v>14412</v>
      </c>
      <c r="E59" s="8">
        <v>7206</v>
      </c>
      <c r="F59" s="8">
        <v>0</v>
      </c>
      <c r="G59" s="9">
        <v>-258.05618748877583</v>
      </c>
      <c r="H59" s="9">
        <v>-306.42470899434994</v>
      </c>
      <c r="I59" s="9">
        <v>-293.26904228930709</v>
      </c>
      <c r="J59" s="9">
        <v>-341.6375637948812</v>
      </c>
      <c r="K59" s="9">
        <v>-232.35412627662384</v>
      </c>
      <c r="L59" s="9">
        <v>-340.19589801162874</v>
      </c>
      <c r="M59" s="9">
        <v>-267.56698107715511</v>
      </c>
      <c r="N59" s="9">
        <v>-375.40875281216</v>
      </c>
      <c r="O59" s="7">
        <v>217618.43427755148</v>
      </c>
      <c r="P59" s="7">
        <v>138874.85348036687</v>
      </c>
      <c r="Q59" s="7">
        <v>270566.15894194727</v>
      </c>
      <c r="R59" s="7">
        <v>209696.73089532889</v>
      </c>
      <c r="S59" s="7">
        <v>-69.396206645039499</v>
      </c>
      <c r="T59" s="7">
        <v>-59.095837907840632</v>
      </c>
      <c r="U59" s="7">
        <v>-94.768358818547426</v>
      </c>
      <c r="V59" s="7">
        <v>-69.102185787540876</v>
      </c>
      <c r="W59" s="7">
        <v>-80.195000535995135</v>
      </c>
      <c r="X59" s="7">
        <v>-55.657162845181169</v>
      </c>
      <c r="Y59" s="7">
        <v>-103.75065941282256</v>
      </c>
      <c r="Z59" s="7">
        <v>-77.427444350100757</v>
      </c>
      <c r="AA59" s="7">
        <v>0</v>
      </c>
      <c r="AB59" s="7">
        <v>0</v>
      </c>
      <c r="AC59" s="7">
        <v>0</v>
      </c>
      <c r="AD59" s="7">
        <v>0</v>
      </c>
      <c r="AE59" s="7">
        <v>-13.596990701416038</v>
      </c>
      <c r="AF59" s="7">
        <v>-11.249466394350346</v>
      </c>
      <c r="AG59" s="7">
        <v>-18.592712781934882</v>
      </c>
      <c r="AH59" s="7">
        <v>-13.414122390347856</v>
      </c>
      <c r="AI59" s="7">
        <v>-135.96990701416041</v>
      </c>
      <c r="AJ59" s="7">
        <v>-112.49466394350348</v>
      </c>
      <c r="AK59" s="7">
        <v>-185.92712781934887</v>
      </c>
      <c r="AL59" s="7">
        <v>-134.14122390347859</v>
      </c>
      <c r="AM59" s="7">
        <v>242988.66647418693</v>
      </c>
      <c r="AN59" s="7">
        <v>168639.68687695221</v>
      </c>
      <c r="AO59" s="7">
        <v>314361.67102740792</v>
      </c>
      <c r="AP59" s="7">
        <v>234603.04664117724</v>
      </c>
      <c r="AQ59" s="7">
        <v>-5.2667793458280006</v>
      </c>
      <c r="AR59" s="7">
        <v>-3.6552652130579388</v>
      </c>
      <c r="AS59" s="7">
        <v>-6.813789219519065</v>
      </c>
      <c r="AT59" s="7">
        <v>-5.0850210359475154</v>
      </c>
      <c r="AU59" s="7">
        <v>-52.667793458280016</v>
      </c>
      <c r="AV59" s="7">
        <v>-36.552652130579396</v>
      </c>
      <c r="AW59" s="7">
        <v>-68.137892195190673</v>
      </c>
      <c r="AX59" s="7">
        <v>-50.850210359475163</v>
      </c>
      <c r="AZ59" s="6"/>
      <c r="BA59" s="7"/>
      <c r="BB59" s="7"/>
      <c r="BC59" s="7"/>
      <c r="BD59" s="7"/>
      <c r="BE59" s="7"/>
    </row>
    <row r="60" spans="1:57">
      <c r="A60" s="6">
        <v>2076</v>
      </c>
      <c r="B60" s="7">
        <v>49040</v>
      </c>
      <c r="C60" s="7">
        <v>24520</v>
      </c>
      <c r="D60" s="7">
        <v>14712</v>
      </c>
      <c r="E60" s="8">
        <v>7356</v>
      </c>
      <c r="F60" s="8">
        <v>0</v>
      </c>
      <c r="G60" s="9">
        <v>-265.48600147403891</v>
      </c>
      <c r="H60" s="9">
        <v>-313.94040443101198</v>
      </c>
      <c r="I60" s="9">
        <v>-301.39403780582018</v>
      </c>
      <c r="J60" s="9">
        <v>-349.84844076279325</v>
      </c>
      <c r="K60" s="9">
        <v>-240.30602758919466</v>
      </c>
      <c r="L60" s="9">
        <v>-348.52341092243273</v>
      </c>
      <c r="M60" s="9">
        <v>-276.21406392097589</v>
      </c>
      <c r="N60" s="9">
        <v>-384.43144725421399</v>
      </c>
      <c r="O60" s="7">
        <v>202321.94660333489</v>
      </c>
      <c r="P60" s="7">
        <v>126090.83525120346</v>
      </c>
      <c r="Q60" s="7">
        <v>273659.85133992671</v>
      </c>
      <c r="R60" s="7">
        <v>211836.2230413027</v>
      </c>
      <c r="S60" s="7">
        <v>-69.406615699807745</v>
      </c>
      <c r="T60" s="7">
        <v>-58.746046285528877</v>
      </c>
      <c r="U60" s="7">
        <v>-94.111589442297358</v>
      </c>
      <c r="V60" s="7">
        <v>-68.52285615522861</v>
      </c>
      <c r="W60" s="7">
        <v>-78.272588368851771</v>
      </c>
      <c r="X60" s="7">
        <v>-54.071116184753215</v>
      </c>
      <c r="Y60" s="7">
        <v>-106.46509497491772</v>
      </c>
      <c r="Z60" s="7">
        <v>-79.379985575728938</v>
      </c>
      <c r="AA60" s="7">
        <v>0</v>
      </c>
      <c r="AB60" s="7">
        <v>0</v>
      </c>
      <c r="AC60" s="7">
        <v>0</v>
      </c>
      <c r="AD60" s="7">
        <v>0</v>
      </c>
      <c r="AE60" s="7">
        <v>-13.813274034242037</v>
      </c>
      <c r="AF60" s="7">
        <v>-11.386597573777868</v>
      </c>
      <c r="AG60" s="7">
        <v>-18.799787856361817</v>
      </c>
      <c r="AH60" s="7">
        <v>-13.551942530796023</v>
      </c>
      <c r="AI60" s="7">
        <v>-138.13274034242039</v>
      </c>
      <c r="AJ60" s="7">
        <v>-113.86597573777871</v>
      </c>
      <c r="AK60" s="7">
        <v>-187.99787856361823</v>
      </c>
      <c r="AL60" s="7">
        <v>-135.51942530796026</v>
      </c>
      <c r="AM60" s="7">
        <v>237163.80998954547</v>
      </c>
      <c r="AN60" s="7">
        <v>163834.00871238578</v>
      </c>
      <c r="AO60" s="7">
        <v>322586.33681773435</v>
      </c>
      <c r="AP60" s="7">
        <v>240519.19335207241</v>
      </c>
      <c r="AQ60" s="7">
        <v>-5.1405255815233968</v>
      </c>
      <c r="AR60" s="7">
        <v>-3.5511021388409612</v>
      </c>
      <c r="AS60" s="7">
        <v>-6.9920588505243906</v>
      </c>
      <c r="AT60" s="7">
        <v>-5.2132535159061684</v>
      </c>
      <c r="AU60" s="7">
        <v>-51.405255815233986</v>
      </c>
      <c r="AV60" s="7">
        <v>-35.511021388409624</v>
      </c>
      <c r="AW60" s="7">
        <v>-69.920588505243927</v>
      </c>
      <c r="AX60" s="7">
        <v>-52.132535159061703</v>
      </c>
      <c r="AZ60" s="6"/>
      <c r="BA60" s="7"/>
      <c r="BB60" s="7"/>
      <c r="BC60" s="7"/>
      <c r="BD60" s="7"/>
      <c r="BE60" s="7"/>
    </row>
    <row r="61" spans="1:57">
      <c r="A61" s="6">
        <v>2077</v>
      </c>
      <c r="B61" s="7">
        <v>50040</v>
      </c>
      <c r="C61" s="7">
        <v>25020</v>
      </c>
      <c r="D61" s="7">
        <v>15012</v>
      </c>
      <c r="E61" s="8">
        <v>7506</v>
      </c>
      <c r="F61" s="8">
        <v>0</v>
      </c>
      <c r="G61" s="9">
        <v>-273.28061808957762</v>
      </c>
      <c r="H61" s="9">
        <v>-321.48963943961979</v>
      </c>
      <c r="I61" s="9">
        <v>-309.88383595260888</v>
      </c>
      <c r="J61" s="9">
        <v>-358.09285730265105</v>
      </c>
      <c r="K61" s="9">
        <v>-248.83106828516847</v>
      </c>
      <c r="L61" s="9">
        <v>-353.00647411644081</v>
      </c>
      <c r="M61" s="9">
        <v>-285.4342861481997</v>
      </c>
      <c r="N61" s="9">
        <v>-389.60969197947207</v>
      </c>
      <c r="O61" s="7">
        <v>228323.29387321771</v>
      </c>
      <c r="P61" s="7">
        <v>146686.02498980914</v>
      </c>
      <c r="Q61" s="7">
        <v>276063.05462039757</v>
      </c>
      <c r="R61" s="7">
        <v>212086.724802396</v>
      </c>
      <c r="S61" s="7">
        <v>-69.254281290319241</v>
      </c>
      <c r="T61" s="7">
        <v>-58.503008462583132</v>
      </c>
      <c r="U61" s="7">
        <v>-93.450999382451343</v>
      </c>
      <c r="V61" s="7">
        <v>-69.91272851143502</v>
      </c>
      <c r="W61" s="7">
        <v>-85.555502090219605</v>
      </c>
      <c r="X61" s="7">
        <v>-59.920111628826838</v>
      </c>
      <c r="Y61" s="7">
        <v>-109.01051826207211</v>
      </c>
      <c r="Z61" s="7">
        <v>-80.919656289380185</v>
      </c>
      <c r="AA61" s="7">
        <v>0</v>
      </c>
      <c r="AB61" s="7">
        <v>0</v>
      </c>
      <c r="AC61" s="7">
        <v>0</v>
      </c>
      <c r="AD61" s="7">
        <v>0</v>
      </c>
      <c r="AE61" s="7">
        <v>-14.008093099612202</v>
      </c>
      <c r="AF61" s="7">
        <v>-11.536604915132731</v>
      </c>
      <c r="AG61" s="7">
        <v>-19.004190041925703</v>
      </c>
      <c r="AH61" s="7">
        <v>-13.946955596623903</v>
      </c>
      <c r="AI61" s="7">
        <v>-140.08093099612205</v>
      </c>
      <c r="AJ61" s="7">
        <v>-115.36604915132733</v>
      </c>
      <c r="AK61" s="7">
        <v>-190.04190041925708</v>
      </c>
      <c r="AL61" s="7">
        <v>-139.46955596623906</v>
      </c>
      <c r="AM61" s="7">
        <v>259230.84012077443</v>
      </c>
      <c r="AN61" s="7">
        <v>181556.30553475599</v>
      </c>
      <c r="AO61" s="7">
        <v>330298.90002022946</v>
      </c>
      <c r="AP61" s="7">
        <v>245184.35366155524</v>
      </c>
      <c r="AQ61" s="7">
        <v>-5.6188284596177844</v>
      </c>
      <c r="AR61" s="7">
        <v>-3.9352329224658353</v>
      </c>
      <c r="AS61" s="7">
        <v>-7.1592286579384723</v>
      </c>
      <c r="AT61" s="7">
        <v>-5.314370865614209</v>
      </c>
      <c r="AU61" s="7">
        <v>-56.188284596177859</v>
      </c>
      <c r="AV61" s="7">
        <v>-39.352329224658362</v>
      </c>
      <c r="AW61" s="7">
        <v>-71.592286579384734</v>
      </c>
      <c r="AX61" s="7">
        <v>-53.143708656142103</v>
      </c>
      <c r="AZ61" s="6"/>
      <c r="BA61" s="7"/>
      <c r="BB61" s="7"/>
      <c r="BC61" s="7"/>
      <c r="BD61" s="7"/>
      <c r="BE61" s="7"/>
    </row>
    <row r="62" spans="1:57">
      <c r="A62" s="6">
        <v>2078</v>
      </c>
      <c r="B62" s="7">
        <v>51040</v>
      </c>
      <c r="C62" s="7">
        <v>25520</v>
      </c>
      <c r="D62" s="7">
        <v>15312</v>
      </c>
      <c r="E62" s="8">
        <v>7656</v>
      </c>
      <c r="F62" s="8">
        <v>0</v>
      </c>
      <c r="G62" s="9">
        <v>-280.02592856663705</v>
      </c>
      <c r="H62" s="9">
        <v>-329.04691271080105</v>
      </c>
      <c r="I62" s="9">
        <v>-317.32432796091831</v>
      </c>
      <c r="J62" s="9">
        <v>-366.34531210508231</v>
      </c>
      <c r="K62" s="9">
        <v>-254.4608069576251</v>
      </c>
      <c r="L62" s="9">
        <v>-357.87216635309721</v>
      </c>
      <c r="M62" s="9">
        <v>-291.75920635190636</v>
      </c>
      <c r="N62" s="9">
        <v>-395.17056574737848</v>
      </c>
      <c r="O62" s="7">
        <v>211640.98367998036</v>
      </c>
      <c r="P62" s="7">
        <v>132702.14820656943</v>
      </c>
      <c r="Q62" s="7">
        <v>278974.75779248675</v>
      </c>
      <c r="R62" s="7">
        <v>214621.20726322581</v>
      </c>
      <c r="S62" s="7">
        <v>-69.494516364324284</v>
      </c>
      <c r="T62" s="7">
        <v>-58.33121724022255</v>
      </c>
      <c r="U62" s="7">
        <v>-94.097883736725635</v>
      </c>
      <c r="V62" s="7">
        <v>-70.722403863238938</v>
      </c>
      <c r="W62" s="7">
        <v>-83.32238725816336</v>
      </c>
      <c r="X62" s="7">
        <v>-58.054624901525685</v>
      </c>
      <c r="Y62" s="7">
        <v>-111.6684565330079</v>
      </c>
      <c r="Z62" s="7">
        <v>-82.99177330468531</v>
      </c>
      <c r="AA62" s="7">
        <v>0</v>
      </c>
      <c r="AB62" s="7">
        <v>0</v>
      </c>
      <c r="AC62" s="7">
        <v>0</v>
      </c>
      <c r="AD62" s="7">
        <v>0</v>
      </c>
      <c r="AE62" s="7">
        <v>-14.254003915976408</v>
      </c>
      <c r="AF62" s="7">
        <v>-11.695153126179004</v>
      </c>
      <c r="AG62" s="7">
        <v>-19.378440208014553</v>
      </c>
      <c r="AH62" s="7">
        <v>-14.269898076668863</v>
      </c>
      <c r="AI62" s="7">
        <v>-142.54003915976412</v>
      </c>
      <c r="AJ62" s="7">
        <v>-116.95153126179007</v>
      </c>
      <c r="AK62" s="7">
        <v>-193.78440208014558</v>
      </c>
      <c r="AL62" s="7">
        <v>-142.69898076668866</v>
      </c>
      <c r="AM62" s="7">
        <v>252464.56302745952</v>
      </c>
      <c r="AN62" s="7">
        <v>175903.93158173453</v>
      </c>
      <c r="AO62" s="7">
        <v>338352.3805577787</v>
      </c>
      <c r="AP62" s="7">
        <v>251462.81175697569</v>
      </c>
      <c r="AQ62" s="7">
        <v>-5.4721694036201844</v>
      </c>
      <c r="AR62" s="7">
        <v>-3.8127177170340953</v>
      </c>
      <c r="AS62" s="7">
        <v>-7.3337878485898509</v>
      </c>
      <c r="AT62" s="7">
        <v>-5.4504564448324473</v>
      </c>
      <c r="AU62" s="7">
        <v>-54.721694036201853</v>
      </c>
      <c r="AV62" s="7">
        <v>-38.127177170340964</v>
      </c>
      <c r="AW62" s="7">
        <v>-73.337878485898528</v>
      </c>
      <c r="AX62" s="7">
        <v>-54.504564448324487</v>
      </c>
      <c r="AZ62" s="6"/>
      <c r="BA62" s="7"/>
      <c r="BB62" s="7"/>
      <c r="BC62" s="7"/>
      <c r="BD62" s="7"/>
      <c r="BE62" s="7"/>
    </row>
    <row r="63" spans="1:57">
      <c r="A63" s="6">
        <v>2079</v>
      </c>
      <c r="B63" s="7">
        <v>52040</v>
      </c>
      <c r="C63" s="7">
        <v>26020</v>
      </c>
      <c r="D63" s="7">
        <v>15612</v>
      </c>
      <c r="E63" s="8">
        <v>7806</v>
      </c>
      <c r="F63" s="8">
        <v>0</v>
      </c>
      <c r="G63" s="9">
        <v>-266.75562021304074</v>
      </c>
      <c r="H63" s="9">
        <v>-322.6451271693557</v>
      </c>
      <c r="I63" s="9">
        <v>-304.749201138572</v>
      </c>
      <c r="J63" s="9">
        <v>-360.63870809488697</v>
      </c>
      <c r="K63" s="9">
        <v>-222.18221997173387</v>
      </c>
      <c r="L63" s="9">
        <v>-338.31196247341597</v>
      </c>
      <c r="M63" s="9">
        <v>-260.17580089726511</v>
      </c>
      <c r="N63" s="9">
        <v>-376.30554339894724</v>
      </c>
      <c r="O63" s="7">
        <v>211059.91128427853</v>
      </c>
      <c r="P63" s="7">
        <v>132612.26347959397</v>
      </c>
      <c r="Q63" s="7">
        <v>281577.53657228139</v>
      </c>
      <c r="R63" s="7">
        <v>218948.19688980724</v>
      </c>
      <c r="S63" s="7">
        <v>-79.336132571875325</v>
      </c>
      <c r="T63" s="7">
        <v>-65.475797738746408</v>
      </c>
      <c r="U63" s="7">
        <v>-113.13646235832046</v>
      </c>
      <c r="V63" s="7">
        <v>-83.964956434127359</v>
      </c>
      <c r="W63" s="7">
        <v>-84.788180774992128</v>
      </c>
      <c r="X63" s="7">
        <v>-59.362220504411574</v>
      </c>
      <c r="Y63" s="7">
        <v>-114.47086304458409</v>
      </c>
      <c r="Z63" s="7">
        <v>-85.615751836502255</v>
      </c>
      <c r="AA63" s="7">
        <v>0</v>
      </c>
      <c r="AB63" s="7">
        <v>0</v>
      </c>
      <c r="AC63" s="7">
        <v>0</v>
      </c>
      <c r="AD63" s="7">
        <v>0</v>
      </c>
      <c r="AE63" s="7">
        <v>-15.763852753865924</v>
      </c>
      <c r="AF63" s="7">
        <v>-12.815718181622657</v>
      </c>
      <c r="AG63" s="7">
        <v>-22.174426941974801</v>
      </c>
      <c r="AH63" s="7">
        <v>-16.231101576464972</v>
      </c>
      <c r="AI63" s="7">
        <v>-157.63852753865928</v>
      </c>
      <c r="AJ63" s="7">
        <v>-128.1571818162266</v>
      </c>
      <c r="AK63" s="7">
        <v>-221.74426941974806</v>
      </c>
      <c r="AL63" s="7">
        <v>-162.31101576464977</v>
      </c>
      <c r="AM63" s="7">
        <v>256905.87744357291</v>
      </c>
      <c r="AN63" s="7">
        <v>179865.91062917077</v>
      </c>
      <c r="AO63" s="7">
        <v>346843.59592800413</v>
      </c>
      <c r="AP63" s="7">
        <v>259413.39521032837</v>
      </c>
      <c r="AQ63" s="7">
        <v>-5.5684348935894414</v>
      </c>
      <c r="AR63" s="7">
        <v>-3.8985936128872756</v>
      </c>
      <c r="AS63" s="7">
        <v>-7.5178349417394879</v>
      </c>
      <c r="AT63" s="7">
        <v>-5.6227853411838664</v>
      </c>
      <c r="AU63" s="7">
        <v>-55.684348935894427</v>
      </c>
      <c r="AV63" s="7">
        <v>-38.985936128872765</v>
      </c>
      <c r="AW63" s="7">
        <v>-75.178349417394898</v>
      </c>
      <c r="AX63" s="7">
        <v>-56.227853411838673</v>
      </c>
      <c r="AZ63" s="6"/>
      <c r="BA63" s="7"/>
      <c r="BB63" s="7"/>
      <c r="BC63" s="7"/>
      <c r="BD63" s="7"/>
      <c r="BE63" s="7"/>
    </row>
    <row r="64" spans="1:57">
      <c r="A64" s="6">
        <v>2080</v>
      </c>
      <c r="B64" s="7">
        <v>53040</v>
      </c>
      <c r="C64" s="7">
        <v>26520</v>
      </c>
      <c r="D64" s="7">
        <v>15912</v>
      </c>
      <c r="E64" s="8">
        <v>7956</v>
      </c>
      <c r="F64" s="8">
        <v>0</v>
      </c>
      <c r="G64" s="9">
        <v>-270.71907935035728</v>
      </c>
      <c r="H64" s="9">
        <v>-328.30598719289321</v>
      </c>
      <c r="I64" s="9">
        <v>-309.40784180713854</v>
      </c>
      <c r="J64" s="9">
        <v>-366.99474964967447</v>
      </c>
      <c r="K64" s="9">
        <v>-225.43554769626672</v>
      </c>
      <c r="L64" s="9">
        <v>-343.39044600610828</v>
      </c>
      <c r="M64" s="9">
        <v>-264.12431015304799</v>
      </c>
      <c r="N64" s="9">
        <v>-382.07920846288954</v>
      </c>
      <c r="O64" s="7">
        <v>254801.08101643567</v>
      </c>
      <c r="P64" s="7">
        <v>166638.79391803953</v>
      </c>
      <c r="Q64" s="7">
        <v>316752.95192461956</v>
      </c>
      <c r="R64" s="7">
        <v>221604.26622702504</v>
      </c>
      <c r="S64" s="7">
        <v>-78.765015298560215</v>
      </c>
      <c r="T64" s="7">
        <v>-65.052497439124281</v>
      </c>
      <c r="U64" s="7">
        <v>-111.50133742331211</v>
      </c>
      <c r="V64" s="7">
        <v>-82.706503226233096</v>
      </c>
      <c r="W64" s="7">
        <v>-96.235085844072415</v>
      </c>
      <c r="X64" s="7">
        <v>-68.348112067122045</v>
      </c>
      <c r="Y64" s="7">
        <v>-124.72217842258593</v>
      </c>
      <c r="Z64" s="7">
        <v>-87.995720192763514</v>
      </c>
      <c r="AA64" s="7">
        <v>0</v>
      </c>
      <c r="AB64" s="7">
        <v>0</v>
      </c>
      <c r="AC64" s="7">
        <v>0</v>
      </c>
      <c r="AD64" s="7">
        <v>0</v>
      </c>
      <c r="AE64" s="7">
        <v>-15.934397786299733</v>
      </c>
      <c r="AF64" s="7">
        <v>-12.962852364413205</v>
      </c>
      <c r="AG64" s="7">
        <v>-22.309808385163446</v>
      </c>
      <c r="AH64" s="7">
        <v>-16.325739145501135</v>
      </c>
      <c r="AI64" s="7">
        <v>-159.34397786299738</v>
      </c>
      <c r="AJ64" s="7">
        <v>-129.62852364413209</v>
      </c>
      <c r="AK64" s="7">
        <v>-223.09808385163453</v>
      </c>
      <c r="AL64" s="7">
        <v>-163.2573914550114</v>
      </c>
      <c r="AM64" s="7">
        <v>291589.6878981159</v>
      </c>
      <c r="AN64" s="7">
        <v>207092.91721700199</v>
      </c>
      <c r="AO64" s="7">
        <v>377904.80219595524</v>
      </c>
      <c r="AP64" s="7">
        <v>266624.63448052597</v>
      </c>
      <c r="AQ64" s="7">
        <v>-6.32020648519166</v>
      </c>
      <c r="AR64" s="7">
        <v>-4.4887389806785167</v>
      </c>
      <c r="AS64" s="7">
        <v>-8.1910865875973293</v>
      </c>
      <c r="AT64" s="7">
        <v>-5.7790889523653988</v>
      </c>
      <c r="AU64" s="7">
        <v>-63.202064851916624</v>
      </c>
      <c r="AV64" s="7">
        <v>-44.88738980678518</v>
      </c>
      <c r="AW64" s="7">
        <v>-81.910865875973315</v>
      </c>
      <c r="AX64" s="7">
        <v>-57.790889523654009</v>
      </c>
      <c r="AZ64" s="6"/>
      <c r="BA64" s="7"/>
      <c r="BB64" s="7"/>
      <c r="BC64" s="7"/>
      <c r="BD64" s="7"/>
      <c r="BE64" s="7"/>
    </row>
    <row r="65" spans="1:57">
      <c r="A65" s="6">
        <v>2081</v>
      </c>
      <c r="B65" s="7">
        <v>53450</v>
      </c>
      <c r="C65" s="7">
        <v>26725</v>
      </c>
      <c r="D65" s="7">
        <v>16035</v>
      </c>
      <c r="E65" s="8">
        <v>8017.5</v>
      </c>
      <c r="F65" s="8">
        <v>0</v>
      </c>
      <c r="G65" s="9">
        <v>-254.11665547141115</v>
      </c>
      <c r="H65" s="9">
        <v>-321.87865345133196</v>
      </c>
      <c r="I65" s="9">
        <v>-293.50059945944241</v>
      </c>
      <c r="J65" s="9">
        <v>-361.26259743936322</v>
      </c>
      <c r="K65" s="9">
        <v>-190.34895475787357</v>
      </c>
      <c r="L65" s="9">
        <v>-325.477219897726</v>
      </c>
      <c r="M65" s="9">
        <v>-229.73289874590483</v>
      </c>
      <c r="N65" s="9">
        <v>-364.86116388575726</v>
      </c>
      <c r="O65" s="7">
        <v>258344.85196816231</v>
      </c>
      <c r="P65" s="7">
        <v>169889.84254587672</v>
      </c>
      <c r="Q65" s="7">
        <v>321465.65963880508</v>
      </c>
      <c r="R65" s="7">
        <v>254903.17083981895</v>
      </c>
      <c r="S65" s="7">
        <v>-88.525150588667827</v>
      </c>
      <c r="T65" s="7">
        <v>-71.310978873898136</v>
      </c>
      <c r="U65" s="7">
        <v>-129.39224398638851</v>
      </c>
      <c r="V65" s="7">
        <v>-93.929240442663229</v>
      </c>
      <c r="W65" s="7">
        <v>-98.819231779620566</v>
      </c>
      <c r="X65" s="7">
        <v>-70.535491609252148</v>
      </c>
      <c r="Y65" s="7">
        <v>-128.35777779891566</v>
      </c>
      <c r="Z65" s="7">
        <v>-97.315366928922387</v>
      </c>
      <c r="AA65" s="7">
        <v>0</v>
      </c>
      <c r="AB65" s="7">
        <v>0</v>
      </c>
      <c r="AC65" s="7">
        <v>0</v>
      </c>
      <c r="AD65" s="7">
        <v>0</v>
      </c>
      <c r="AE65" s="7">
        <v>-17.462356412365207</v>
      </c>
      <c r="AF65" s="7">
        <v>-13.987712190912902</v>
      </c>
      <c r="AG65" s="7">
        <v>-25.008999153095331</v>
      </c>
      <c r="AH65" s="7">
        <v>-18.058499929983434</v>
      </c>
      <c r="AI65" s="7">
        <v>-174.6235641236521</v>
      </c>
      <c r="AJ65" s="7">
        <v>-139.87712190912904</v>
      </c>
      <c r="AK65" s="7">
        <v>-250.08999153095337</v>
      </c>
      <c r="AL65" s="7">
        <v>-180.58499929983438</v>
      </c>
      <c r="AM65" s="7">
        <v>299419.57967013103</v>
      </c>
      <c r="AN65" s="7">
        <v>213720.61762803374</v>
      </c>
      <c r="AO65" s="7">
        <v>388920.56924358103</v>
      </c>
      <c r="AP65" s="7">
        <v>294862.91014975944</v>
      </c>
      <c r="AQ65" s="7">
        <v>-6.4899193893500886</v>
      </c>
      <c r="AR65" s="7">
        <v>-4.6323943870876301</v>
      </c>
      <c r="AS65" s="7">
        <v>-8.4298533383546168</v>
      </c>
      <c r="AT65" s="7">
        <v>-6.3911535774960351</v>
      </c>
      <c r="AU65" s="7">
        <v>-64.899193893500907</v>
      </c>
      <c r="AV65" s="7">
        <v>-46.323943870876313</v>
      </c>
      <c r="AW65" s="7">
        <v>-84.298533383546186</v>
      </c>
      <c r="AX65" s="7">
        <v>-63.911535774960356</v>
      </c>
      <c r="AZ65" s="6"/>
      <c r="BA65" s="7"/>
      <c r="BB65" s="7"/>
      <c r="BC65" s="7"/>
      <c r="BD65" s="7"/>
      <c r="BE65" s="7"/>
    </row>
    <row r="66" spans="1:57">
      <c r="A66" s="6">
        <v>2082</v>
      </c>
      <c r="B66" s="7">
        <v>53860</v>
      </c>
      <c r="C66" s="7">
        <v>26930</v>
      </c>
      <c r="D66" s="7">
        <v>16158</v>
      </c>
      <c r="E66" s="8">
        <v>8079</v>
      </c>
      <c r="F66" s="8">
        <v>0</v>
      </c>
      <c r="G66" s="9">
        <v>-256.05846655822648</v>
      </c>
      <c r="H66" s="9">
        <v>-326.58614836504404</v>
      </c>
      <c r="I66" s="9">
        <v>-296.13759207750775</v>
      </c>
      <c r="J66" s="9">
        <v>-366.6652738843253</v>
      </c>
      <c r="K66" s="9">
        <v>-188.80747821460267</v>
      </c>
      <c r="L66" s="9">
        <v>-328.18456771421728</v>
      </c>
      <c r="M66" s="9">
        <v>-228.88660373388393</v>
      </c>
      <c r="N66" s="9">
        <v>-368.26369323349854</v>
      </c>
      <c r="O66" s="7">
        <v>257042.02970311802</v>
      </c>
      <c r="P66" s="7">
        <v>179594.85300205549</v>
      </c>
      <c r="Q66" s="7">
        <v>323270.60374046018</v>
      </c>
      <c r="R66" s="7">
        <v>256294.2429822119</v>
      </c>
      <c r="S66" s="7">
        <v>-87.312955703912394</v>
      </c>
      <c r="T66" s="7">
        <v>-70.687312263321118</v>
      </c>
      <c r="U66" s="7">
        <v>-127.53164564036858</v>
      </c>
      <c r="V66" s="7">
        <v>-92.787086913294559</v>
      </c>
      <c r="W66" s="7">
        <v>-100.4142244978575</v>
      </c>
      <c r="X66" s="7">
        <v>-74.221952982788665</v>
      </c>
      <c r="Y66" s="7">
        <v>-131.51681860825488</v>
      </c>
      <c r="Z66" s="7">
        <v>-99.628963049267412</v>
      </c>
      <c r="AA66" s="7">
        <v>0</v>
      </c>
      <c r="AB66" s="7">
        <v>0</v>
      </c>
      <c r="AC66" s="7">
        <v>0</v>
      </c>
      <c r="AD66" s="7">
        <v>0</v>
      </c>
      <c r="AE66" s="7">
        <v>-17.577115328354726</v>
      </c>
      <c r="AF66" s="7">
        <v>-14.126581813620882</v>
      </c>
      <c r="AG66" s="7">
        <v>-25.165300391709344</v>
      </c>
      <c r="AH66" s="7">
        <v>-18.199407642395908</v>
      </c>
      <c r="AI66" s="7">
        <v>-175.77115328354728</v>
      </c>
      <c r="AJ66" s="7">
        <v>-141.26581813620885</v>
      </c>
      <c r="AK66" s="7">
        <v>-251.65300391709351</v>
      </c>
      <c r="AL66" s="7">
        <v>-181.99407642395911</v>
      </c>
      <c r="AM66" s="7">
        <v>304252.36414609686</v>
      </c>
      <c r="AN66" s="7">
        <v>224890.49514131062</v>
      </c>
      <c r="AO66" s="7">
        <v>398492.37681847258</v>
      </c>
      <c r="AP66" s="7">
        <v>301873.04335363861</v>
      </c>
      <c r="AQ66" s="7">
        <v>-6.594669992866649</v>
      </c>
      <c r="AR66" s="7">
        <v>-4.8745014821879069</v>
      </c>
      <c r="AS66" s="7">
        <v>-8.6373222675403927</v>
      </c>
      <c r="AT66" s="7">
        <v>-6.5430982146901151</v>
      </c>
      <c r="AU66" s="7">
        <v>-65.94669992866649</v>
      </c>
      <c r="AV66" s="7">
        <v>-48.745014821879082</v>
      </c>
      <c r="AW66" s="7">
        <v>-86.373222675403937</v>
      </c>
      <c r="AX66" s="7">
        <v>-65.430982146901172</v>
      </c>
      <c r="AZ66" s="6"/>
      <c r="BA66" s="7"/>
      <c r="BB66" s="7"/>
      <c r="BC66" s="7"/>
      <c r="BD66" s="7"/>
      <c r="BE66" s="7"/>
    </row>
    <row r="67" spans="1:57">
      <c r="A67" s="6">
        <v>2083</v>
      </c>
      <c r="B67" s="7">
        <v>54270</v>
      </c>
      <c r="C67" s="7">
        <v>27135</v>
      </c>
      <c r="D67" s="7">
        <v>16281</v>
      </c>
      <c r="E67" s="8">
        <v>8140.5</v>
      </c>
      <c r="F67" s="8">
        <v>0</v>
      </c>
      <c r="G67" s="9">
        <v>-258.11221600095575</v>
      </c>
      <c r="H67" s="9">
        <v>-331.98503918697725</v>
      </c>
      <c r="I67" s="9">
        <v>-298.88652305148702</v>
      </c>
      <c r="J67" s="9">
        <v>-372.75934623750851</v>
      </c>
      <c r="K67" s="9">
        <v>-189.51696243320583</v>
      </c>
      <c r="L67" s="9">
        <v>-332.17313118742788</v>
      </c>
      <c r="M67" s="9">
        <v>-230.29126948373707</v>
      </c>
      <c r="N67" s="9">
        <v>-372.94743823795915</v>
      </c>
      <c r="O67" s="7">
        <v>287241.15765766514</v>
      </c>
      <c r="P67" s="7">
        <v>190885.22742443741</v>
      </c>
      <c r="Q67" s="7">
        <v>326622.45784965577</v>
      </c>
      <c r="R67" s="7">
        <v>259199.62245200871</v>
      </c>
      <c r="S67" s="7">
        <v>-86.69814659136199</v>
      </c>
      <c r="T67" s="7">
        <v>-70.05028784910894</v>
      </c>
      <c r="U67" s="7">
        <v>-125.7004824285799</v>
      </c>
      <c r="V67" s="7">
        <v>-91.57167264897889</v>
      </c>
      <c r="W67" s="7">
        <v>-109.01213609631539</v>
      </c>
      <c r="X67" s="7">
        <v>-78.247606580597619</v>
      </c>
      <c r="Y67" s="7">
        <v>-134.97961247795394</v>
      </c>
      <c r="Z67" s="7">
        <v>-102.25380237947937</v>
      </c>
      <c r="AA67" s="7">
        <v>0</v>
      </c>
      <c r="AB67" s="7">
        <v>0</v>
      </c>
      <c r="AC67" s="7">
        <v>0</v>
      </c>
      <c r="AD67" s="7">
        <v>0</v>
      </c>
      <c r="AE67" s="7">
        <v>-17.766570441514638</v>
      </c>
      <c r="AF67" s="7">
        <v>-14.261653896742601</v>
      </c>
      <c r="AG67" s="7">
        <v>-25.319486563215062</v>
      </c>
      <c r="AH67" s="7">
        <v>-18.326981680053052</v>
      </c>
      <c r="AI67" s="7">
        <v>-177.66570441514642</v>
      </c>
      <c r="AJ67" s="7">
        <v>-142.61653896742604</v>
      </c>
      <c r="AK67" s="7">
        <v>-253.19486563215068</v>
      </c>
      <c r="AL67" s="7">
        <v>-183.26981680053058</v>
      </c>
      <c r="AM67" s="7">
        <v>330303.80201390386</v>
      </c>
      <c r="AN67" s="7">
        <v>237088.115851838</v>
      </c>
      <c r="AO67" s="7">
        <v>408984.54788960441</v>
      </c>
      <c r="AP67" s="7">
        <v>309826.23500267317</v>
      </c>
      <c r="AQ67" s="7">
        <v>-7.1593349086513642</v>
      </c>
      <c r="AR67" s="7">
        <v>-5.1388849110885877</v>
      </c>
      <c r="AS67" s="7">
        <v>-8.864740075507175</v>
      </c>
      <c r="AT67" s="7">
        <v>-6.7154836436829406</v>
      </c>
      <c r="AU67" s="7">
        <v>-71.593349086513655</v>
      </c>
      <c r="AV67" s="7">
        <v>-51.388849110885886</v>
      </c>
      <c r="AW67" s="7">
        <v>-88.647400755071757</v>
      </c>
      <c r="AX67" s="7">
        <v>-67.154836436829413</v>
      </c>
      <c r="AZ67" s="6"/>
      <c r="BA67" s="7"/>
      <c r="BB67" s="7"/>
      <c r="BC67" s="7"/>
      <c r="BD67" s="7"/>
      <c r="BE67" s="7"/>
    </row>
    <row r="68" spans="1:57">
      <c r="A68" s="6">
        <v>2084</v>
      </c>
      <c r="B68" s="7">
        <v>54680</v>
      </c>
      <c r="C68" s="7">
        <v>27340</v>
      </c>
      <c r="D68" s="7">
        <v>16404</v>
      </c>
      <c r="E68" s="8">
        <v>8202</v>
      </c>
      <c r="F68" s="8">
        <v>0</v>
      </c>
      <c r="G68" s="9">
        <v>-261.77912069537786</v>
      </c>
      <c r="H68" s="9">
        <v>-337.2446060898364</v>
      </c>
      <c r="I68" s="9">
        <v>-303.24860927715912</v>
      </c>
      <c r="J68" s="9">
        <v>-378.71409467161766</v>
      </c>
      <c r="K68" s="9">
        <v>-193.37776509241178</v>
      </c>
      <c r="L68" s="9">
        <v>-338.05522007296025</v>
      </c>
      <c r="M68" s="9">
        <v>-234.84725367419304</v>
      </c>
      <c r="N68" s="9">
        <v>-379.52470865474152</v>
      </c>
      <c r="O68" s="7">
        <v>271322.00637446309</v>
      </c>
      <c r="P68" s="7">
        <v>177437.66862727609</v>
      </c>
      <c r="Q68" s="7">
        <v>329795.51727897191</v>
      </c>
      <c r="R68" s="7">
        <v>261770.3791778904</v>
      </c>
      <c r="S68" s="7">
        <v>-85.617941139928675</v>
      </c>
      <c r="T68" s="7">
        <v>-69.521717271120266</v>
      </c>
      <c r="U68" s="7">
        <v>-123.24882730108372</v>
      </c>
      <c r="V68" s="7">
        <v>-89.858390623802634</v>
      </c>
      <c r="W68" s="7">
        <v>-107.30875481748504</v>
      </c>
      <c r="X68" s="7">
        <v>-76.744665959156634</v>
      </c>
      <c r="Y68" s="7">
        <v>-138.35502844384158</v>
      </c>
      <c r="Z68" s="7">
        <v>-104.77149021152546</v>
      </c>
      <c r="AA68" s="7">
        <v>0</v>
      </c>
      <c r="AB68" s="7">
        <v>0</v>
      </c>
      <c r="AC68" s="7">
        <v>0</v>
      </c>
      <c r="AD68" s="7">
        <v>0</v>
      </c>
      <c r="AE68" s="7">
        <v>-17.892764098042651</v>
      </c>
      <c r="AF68" s="7">
        <v>-14.408916843900522</v>
      </c>
      <c r="AG68" s="7">
        <v>-25.386145481475555</v>
      </c>
      <c r="AH68" s="7">
        <v>-18.385131744675107</v>
      </c>
      <c r="AI68" s="7">
        <v>-178.92764098042656</v>
      </c>
      <c r="AJ68" s="7">
        <v>-144.08916843900525</v>
      </c>
      <c r="AK68" s="7">
        <v>-253.8614548147556</v>
      </c>
      <c r="AL68" s="7">
        <v>-183.8513174467511</v>
      </c>
      <c r="AM68" s="7">
        <v>325142.60315270675</v>
      </c>
      <c r="AN68" s="7">
        <v>232534.24672093237</v>
      </c>
      <c r="AO68" s="7">
        <v>419211.96629305684</v>
      </c>
      <c r="AP68" s="7">
        <v>317454.76053192461</v>
      </c>
      <c r="AQ68" s="7">
        <v>-7.0474659233349177</v>
      </c>
      <c r="AR68" s="7">
        <v>-5.0401797976762079</v>
      </c>
      <c r="AS68" s="7">
        <v>-9.0864193694020052</v>
      </c>
      <c r="AT68" s="7">
        <v>-6.8808319345294642</v>
      </c>
      <c r="AU68" s="7">
        <v>-70.474659233349186</v>
      </c>
      <c r="AV68" s="7">
        <v>-50.401797976762083</v>
      </c>
      <c r="AW68" s="7">
        <v>-90.864193694020074</v>
      </c>
      <c r="AX68" s="7">
        <v>-68.808319345294663</v>
      </c>
      <c r="AZ68" s="6"/>
      <c r="BA68" s="7"/>
      <c r="BB68" s="7"/>
      <c r="BC68" s="7"/>
      <c r="BD68" s="7"/>
      <c r="BE68" s="7"/>
    </row>
    <row r="69" spans="1:57">
      <c r="A69" s="6">
        <v>2085</v>
      </c>
      <c r="B69" s="7">
        <v>55090</v>
      </c>
      <c r="C69" s="7">
        <v>27545</v>
      </c>
      <c r="D69" s="7">
        <v>16527</v>
      </c>
      <c r="E69" s="8">
        <v>8263.5</v>
      </c>
      <c r="F69" s="8">
        <v>0</v>
      </c>
      <c r="G69" s="9">
        <v>-265.89515503864317</v>
      </c>
      <c r="H69" s="9">
        <v>-342.42414007559677</v>
      </c>
      <c r="I69" s="9">
        <v>-308.05982515167443</v>
      </c>
      <c r="J69" s="9">
        <v>-384.58881018862803</v>
      </c>
      <c r="K69" s="9">
        <v>-199.36152974211768</v>
      </c>
      <c r="L69" s="9">
        <v>-344.7693188245608</v>
      </c>
      <c r="M69" s="9">
        <v>-241.52619985514892</v>
      </c>
      <c r="N69" s="9">
        <v>-386.93398893759206</v>
      </c>
      <c r="O69" s="7">
        <v>272783.97235114552</v>
      </c>
      <c r="P69" s="7">
        <v>177501.39237026195</v>
      </c>
      <c r="Q69" s="7">
        <v>332271.87025638274</v>
      </c>
      <c r="R69" s="7">
        <v>263926.08466577582</v>
      </c>
      <c r="S69" s="7">
        <v>-84.752614251792835</v>
      </c>
      <c r="T69" s="7">
        <v>-68.997545568915186</v>
      </c>
      <c r="U69" s="7">
        <v>-120.83565366380959</v>
      </c>
      <c r="V69" s="7">
        <v>-88.109401100275377</v>
      </c>
      <c r="W69" s="7">
        <v>-109.45877452077364</v>
      </c>
      <c r="X69" s="7">
        <v>-78.242128973488846</v>
      </c>
      <c r="Y69" s="7">
        <v>-141.52137531675558</v>
      </c>
      <c r="Z69" s="7">
        <v>-107.1583732366545</v>
      </c>
      <c r="AA69" s="7">
        <v>0</v>
      </c>
      <c r="AB69" s="7">
        <v>0</v>
      </c>
      <c r="AC69" s="7">
        <v>0</v>
      </c>
      <c r="AD69" s="7">
        <v>0</v>
      </c>
      <c r="AE69" s="7">
        <v>-18.04374848636655</v>
      </c>
      <c r="AF69" s="7">
        <v>-14.55502256044513</v>
      </c>
      <c r="AG69" s="7">
        <v>-25.4500450332336</v>
      </c>
      <c r="AH69" s="7">
        <v>-18.433112220676964</v>
      </c>
      <c r="AI69" s="7">
        <v>-180.43748486366553</v>
      </c>
      <c r="AJ69" s="7">
        <v>-145.55022560445133</v>
      </c>
      <c r="AK69" s="7">
        <v>-254.50045033233604</v>
      </c>
      <c r="AL69" s="7">
        <v>-184.33112220676969</v>
      </c>
      <c r="AM69" s="7">
        <v>331657.10427002813</v>
      </c>
      <c r="AN69" s="7">
        <v>237071.51885155207</v>
      </c>
      <c r="AO69" s="7">
        <v>428805.9110415047</v>
      </c>
      <c r="AP69" s="7">
        <v>324686.9510603809</v>
      </c>
      <c r="AQ69" s="7">
        <v>-7.1886677350528583</v>
      </c>
      <c r="AR69" s="7">
        <v>-5.13852517110739</v>
      </c>
      <c r="AS69" s="7">
        <v>-9.294368121824613</v>
      </c>
      <c r="AT69" s="7">
        <v>-7.0375896642337548</v>
      </c>
      <c r="AU69" s="7">
        <v>-71.886677350528601</v>
      </c>
      <c r="AV69" s="7">
        <v>-51.385251711073906</v>
      </c>
      <c r="AW69" s="7">
        <v>-92.943681218246141</v>
      </c>
      <c r="AX69" s="7">
        <v>-70.375896642337565</v>
      </c>
      <c r="AZ69" s="6"/>
      <c r="BA69" s="7"/>
      <c r="BB69" s="7"/>
      <c r="BC69" s="7"/>
      <c r="BD69" s="7"/>
      <c r="BE69" s="7"/>
    </row>
    <row r="70" spans="1:57">
      <c r="A70" s="6">
        <v>2086</v>
      </c>
      <c r="B70" s="7">
        <v>55500</v>
      </c>
      <c r="C70" s="7">
        <v>27750</v>
      </c>
      <c r="D70" s="7">
        <v>16650</v>
      </c>
      <c r="E70" s="8">
        <v>8325</v>
      </c>
      <c r="F70" s="8">
        <v>0</v>
      </c>
      <c r="G70" s="9">
        <v>-270.84221971367032</v>
      </c>
      <c r="H70" s="9">
        <v>-348.87972936106763</v>
      </c>
      <c r="I70" s="9">
        <v>-313.70207135795158</v>
      </c>
      <c r="J70" s="9">
        <v>-391.7395810053489</v>
      </c>
      <c r="K70" s="9">
        <v>-204.85501333841677</v>
      </c>
      <c r="L70" s="9">
        <v>-350.30885290251689</v>
      </c>
      <c r="M70" s="9">
        <v>-247.714864982698</v>
      </c>
      <c r="N70" s="9">
        <v>-393.16870454679815</v>
      </c>
      <c r="O70" s="7">
        <v>320263.3244924738</v>
      </c>
      <c r="P70" s="7">
        <v>214706.8638665904</v>
      </c>
      <c r="Q70" s="7">
        <v>373986.38108541694</v>
      </c>
      <c r="R70" s="7">
        <v>297485.4949598643</v>
      </c>
      <c r="S70" s="7">
        <v>-83.670393938007763</v>
      </c>
      <c r="T70" s="7">
        <v>-67.817778012218156</v>
      </c>
      <c r="U70" s="7">
        <v>-119.52638069935392</v>
      </c>
      <c r="V70" s="7">
        <v>-87.324085079289191</v>
      </c>
      <c r="W70" s="7">
        <v>-121.84671125551463</v>
      </c>
      <c r="X70" s="7">
        <v>-88.001402743526015</v>
      </c>
      <c r="Y70" s="7">
        <v>-153.39471226239826</v>
      </c>
      <c r="Z70" s="7">
        <v>-116.51866205737588</v>
      </c>
      <c r="AA70" s="7">
        <v>0</v>
      </c>
      <c r="AB70" s="7">
        <v>0</v>
      </c>
      <c r="AC70" s="7">
        <v>0</v>
      </c>
      <c r="AD70" s="7">
        <v>0</v>
      </c>
      <c r="AE70" s="7">
        <v>-18.163391558839702</v>
      </c>
      <c r="AF70" s="7">
        <v>-14.613151350533139</v>
      </c>
      <c r="AG70" s="7">
        <v>-25.651492571303493</v>
      </c>
      <c r="AH70" s="7">
        <v>-18.602307217534005</v>
      </c>
      <c r="AI70" s="7">
        <v>-181.63391558839706</v>
      </c>
      <c r="AJ70" s="7">
        <v>-146.13151350533141</v>
      </c>
      <c r="AK70" s="7">
        <v>-256.51492571303498</v>
      </c>
      <c r="AL70" s="7">
        <v>-186.0230721753401</v>
      </c>
      <c r="AM70" s="7">
        <v>369192.2150303332</v>
      </c>
      <c r="AN70" s="7">
        <v>266641.85245449847</v>
      </c>
      <c r="AO70" s="7">
        <v>464781.79846263462</v>
      </c>
      <c r="AP70" s="7">
        <v>353048.37113842502</v>
      </c>
      <c r="AQ70" s="7">
        <v>-8.0022412607824709</v>
      </c>
      <c r="AR70" s="7">
        <v>-5.779462151951253</v>
      </c>
      <c r="AS70" s="7">
        <v>-10.074145481677604</v>
      </c>
      <c r="AT70" s="7">
        <v>-7.6523234444253605</v>
      </c>
      <c r="AU70" s="7">
        <v>-80.02241260782472</v>
      </c>
      <c r="AV70" s="7">
        <v>-57.794621519512539</v>
      </c>
      <c r="AW70" s="7">
        <v>-100.74145481677606</v>
      </c>
      <c r="AX70" s="7">
        <v>-76.523234444253617</v>
      </c>
      <c r="AZ70" s="6"/>
      <c r="BA70" s="7"/>
      <c r="BB70" s="7"/>
      <c r="BC70" s="7"/>
      <c r="BD70" s="7"/>
      <c r="BE70" s="7"/>
    </row>
    <row r="71" spans="1:57">
      <c r="A71" s="6">
        <v>2087</v>
      </c>
      <c r="B71" s="7">
        <v>55910</v>
      </c>
      <c r="C71" s="7">
        <v>27955</v>
      </c>
      <c r="D71" s="7">
        <v>16773</v>
      </c>
      <c r="E71" s="8">
        <v>8386.5</v>
      </c>
      <c r="F71" s="8">
        <v>0</v>
      </c>
      <c r="G71" s="9">
        <v>-277.41038777718529</v>
      </c>
      <c r="H71" s="9">
        <v>-355.28980477832596</v>
      </c>
      <c r="I71" s="9">
        <v>-320.96542095271656</v>
      </c>
      <c r="J71" s="9">
        <v>-398.84483795385722</v>
      </c>
      <c r="K71" s="9">
        <v>-212.12807716073917</v>
      </c>
      <c r="L71" s="9">
        <v>-356.81656359526545</v>
      </c>
      <c r="M71" s="9">
        <v>-255.6831103362704</v>
      </c>
      <c r="N71" s="9">
        <v>-400.37159677079671</v>
      </c>
      <c r="O71" s="7">
        <v>300434.4413120246</v>
      </c>
      <c r="P71" s="7">
        <v>198152.2003563458</v>
      </c>
      <c r="Q71" s="7">
        <v>375364.84086456685</v>
      </c>
      <c r="R71" s="7">
        <v>298586.10378397169</v>
      </c>
      <c r="S71" s="7">
        <v>-82.12442096644935</v>
      </c>
      <c r="T71" s="7">
        <v>-66.825953649592179</v>
      </c>
      <c r="U71" s="7">
        <v>-117.74142671350593</v>
      </c>
      <c r="V71" s="7">
        <v>-86.173629052358862</v>
      </c>
      <c r="W71" s="7">
        <v>-119.19897806404309</v>
      </c>
      <c r="X71" s="7">
        <v>-85.750680731640571</v>
      </c>
      <c r="Y71" s="7">
        <v>-156.24055410965428</v>
      </c>
      <c r="Z71" s="7">
        <v>-118.62051028577605</v>
      </c>
      <c r="AA71" s="7">
        <v>0</v>
      </c>
      <c r="AB71" s="7">
        <v>0</v>
      </c>
      <c r="AC71" s="7">
        <v>0</v>
      </c>
      <c r="AD71" s="7">
        <v>0</v>
      </c>
      <c r="AE71" s="7">
        <v>-18.218539033821866</v>
      </c>
      <c r="AF71" s="7">
        <v>-14.692240415135881</v>
      </c>
      <c r="AG71" s="7">
        <v>-25.786122334404219</v>
      </c>
      <c r="AH71" s="7">
        <v>-18.720903951967106</v>
      </c>
      <c r="AI71" s="7">
        <v>-182.1853903382187</v>
      </c>
      <c r="AJ71" s="7">
        <v>-146.92240415135885</v>
      </c>
      <c r="AK71" s="7">
        <v>-257.86122334404223</v>
      </c>
      <c r="AL71" s="7">
        <v>-187.20903951967111</v>
      </c>
      <c r="AM71" s="7">
        <v>361169.655605493</v>
      </c>
      <c r="AN71" s="7">
        <v>259822.22608606081</v>
      </c>
      <c r="AO71" s="7">
        <v>473404.62171644578</v>
      </c>
      <c r="AP71" s="7">
        <v>359416.91399940866</v>
      </c>
      <c r="AQ71" s="7">
        <v>-7.8283522852490597</v>
      </c>
      <c r="AR71" s="7">
        <v>-5.6316467504153671</v>
      </c>
      <c r="AS71" s="7">
        <v>-10.261045175703959</v>
      </c>
      <c r="AT71" s="7">
        <v>-7.7903616109371807</v>
      </c>
      <c r="AU71" s="7">
        <v>-78.28352285249062</v>
      </c>
      <c r="AV71" s="7">
        <v>-56.316467504153685</v>
      </c>
      <c r="AW71" s="7">
        <v>-102.61045175703961</v>
      </c>
      <c r="AX71" s="7">
        <v>-77.903616109371825</v>
      </c>
      <c r="AZ71" s="6"/>
      <c r="BA71" s="7"/>
      <c r="BB71" s="7"/>
      <c r="BC71" s="7"/>
      <c r="BD71" s="7"/>
      <c r="BE71" s="7"/>
    </row>
    <row r="72" spans="1:57">
      <c r="A72" s="6">
        <v>2088</v>
      </c>
      <c r="B72" s="7">
        <v>56320</v>
      </c>
      <c r="C72" s="7">
        <v>28160</v>
      </c>
      <c r="D72" s="7">
        <v>16896</v>
      </c>
      <c r="E72" s="8">
        <v>8448</v>
      </c>
      <c r="F72" s="8">
        <v>0</v>
      </c>
      <c r="G72" s="9">
        <v>-283.21817108750832</v>
      </c>
      <c r="H72" s="9">
        <v>-361.84151536557761</v>
      </c>
      <c r="I72" s="9">
        <v>-327.46838579428959</v>
      </c>
      <c r="J72" s="9">
        <v>-406.09173007235887</v>
      </c>
      <c r="K72" s="9">
        <v>-220.17541706845989</v>
      </c>
      <c r="L72" s="9">
        <v>-363.86584478216832</v>
      </c>
      <c r="M72" s="9">
        <v>-264.42563177524113</v>
      </c>
      <c r="N72" s="9">
        <v>-408.11605948894959</v>
      </c>
      <c r="O72" s="7">
        <v>304704.58880268177</v>
      </c>
      <c r="P72" s="7">
        <v>200132.22800020291</v>
      </c>
      <c r="Q72" s="7">
        <v>378281.82489847939</v>
      </c>
      <c r="R72" s="7">
        <v>301156.93135274341</v>
      </c>
      <c r="S72" s="7">
        <v>-81.143955641890997</v>
      </c>
      <c r="T72" s="7">
        <v>-65.844762404340059</v>
      </c>
      <c r="U72" s="7">
        <v>-115.9062192152809</v>
      </c>
      <c r="V72" s="7">
        <v>-84.912622016783089</v>
      </c>
      <c r="W72" s="7">
        <v>-121.89623454804452</v>
      </c>
      <c r="X72" s="7">
        <v>-87.610445553195106</v>
      </c>
      <c r="Y72" s="7">
        <v>-159.38930588398989</v>
      </c>
      <c r="Z72" s="7">
        <v>-121.02336463038615</v>
      </c>
      <c r="AA72" s="7">
        <v>0</v>
      </c>
      <c r="AB72" s="7">
        <v>0</v>
      </c>
      <c r="AC72" s="7">
        <v>0</v>
      </c>
      <c r="AD72" s="7">
        <v>0</v>
      </c>
      <c r="AE72" s="7">
        <v>-18.343165358659046</v>
      </c>
      <c r="AF72" s="7">
        <v>-14.769552944450185</v>
      </c>
      <c r="AG72" s="7">
        <v>-25.908425777298202</v>
      </c>
      <c r="AH72" s="7">
        <v>-18.821260424498771</v>
      </c>
      <c r="AI72" s="7">
        <v>-183.4316535865905</v>
      </c>
      <c r="AJ72" s="7">
        <v>-147.69552944450189</v>
      </c>
      <c r="AK72" s="7">
        <v>-259.08425777298208</v>
      </c>
      <c r="AL72" s="7">
        <v>-188.21260424498774</v>
      </c>
      <c r="AM72" s="7">
        <v>369342.26925729023</v>
      </c>
      <c r="AN72" s="7">
        <v>265457.26282058033</v>
      </c>
      <c r="AO72" s="7">
        <v>482945.25379563158</v>
      </c>
      <c r="AP72" s="7">
        <v>366697.4971907069</v>
      </c>
      <c r="AQ72" s="7">
        <v>-8.0054936861517643</v>
      </c>
      <c r="AR72" s="7">
        <v>-5.7537861716360776</v>
      </c>
      <c r="AS72" s="7">
        <v>-10.467838376020312</v>
      </c>
      <c r="AT72" s="7">
        <v>-7.9481682516085703</v>
      </c>
      <c r="AU72" s="7">
        <v>-80.054936861517646</v>
      </c>
      <c r="AV72" s="7">
        <v>-57.537861716360794</v>
      </c>
      <c r="AW72" s="7">
        <v>-104.67838376020315</v>
      </c>
      <c r="AX72" s="7">
        <v>-79.481682516085712</v>
      </c>
      <c r="AZ72" s="6"/>
      <c r="BA72" s="7"/>
      <c r="BB72" s="7"/>
      <c r="BC72" s="7"/>
      <c r="BD72" s="7"/>
      <c r="BE72" s="7"/>
    </row>
    <row r="73" spans="1:57">
      <c r="A73" s="6">
        <v>2089</v>
      </c>
      <c r="B73" s="7">
        <v>56730</v>
      </c>
      <c r="C73" s="7">
        <v>28365</v>
      </c>
      <c r="D73" s="7">
        <v>17019</v>
      </c>
      <c r="E73" s="8">
        <v>8509.5</v>
      </c>
      <c r="F73" s="8">
        <v>0</v>
      </c>
      <c r="G73" s="9">
        <v>-284.02718163123376</v>
      </c>
      <c r="H73" s="9">
        <v>-361.91344030834097</v>
      </c>
      <c r="I73" s="9">
        <v>-328.97257786926502</v>
      </c>
      <c r="J73" s="9">
        <v>-406.85883654637223</v>
      </c>
      <c r="K73" s="9">
        <v>-231.27116427344862</v>
      </c>
      <c r="L73" s="9">
        <v>-372.6687983441829</v>
      </c>
      <c r="M73" s="9">
        <v>-276.21656051147988</v>
      </c>
      <c r="N73" s="9">
        <v>-417.61419458221417</v>
      </c>
      <c r="O73" s="7">
        <v>324962.16724094562</v>
      </c>
      <c r="P73" s="7">
        <v>215019.60097588188</v>
      </c>
      <c r="Q73" s="7">
        <v>379591.80417280609</v>
      </c>
      <c r="R73" s="7">
        <v>302244.38534198189</v>
      </c>
      <c r="S73" s="7">
        <v>-83.105421044633232</v>
      </c>
      <c r="T73" s="7">
        <v>-68.378531730422665</v>
      </c>
      <c r="U73" s="7">
        <v>-113.58784362298883</v>
      </c>
      <c r="V73" s="7">
        <v>-83.273921510966076</v>
      </c>
      <c r="W73" s="7">
        <v>-128.1681159958201</v>
      </c>
      <c r="X73" s="7">
        <v>-92.364443857324375</v>
      </c>
      <c r="Y73" s="7">
        <v>-162.13391096132605</v>
      </c>
      <c r="Z73" s="7">
        <v>-123.0634444053667</v>
      </c>
      <c r="AA73" s="7">
        <v>0</v>
      </c>
      <c r="AB73" s="7">
        <v>0</v>
      </c>
      <c r="AC73" s="7">
        <v>0</v>
      </c>
      <c r="AD73" s="7">
        <v>0</v>
      </c>
      <c r="AE73" s="7">
        <v>-18.851714171940444</v>
      </c>
      <c r="AF73" s="7">
        <v>-15.306194919618701</v>
      </c>
      <c r="AG73" s="7">
        <v>-25.96129300587021</v>
      </c>
      <c r="AH73" s="7">
        <v>-18.867886908329027</v>
      </c>
      <c r="AI73" s="7">
        <v>-188.51714171940449</v>
      </c>
      <c r="AJ73" s="7">
        <v>-153.06194919618704</v>
      </c>
      <c r="AK73" s="7">
        <v>-259.61293005870215</v>
      </c>
      <c r="AL73" s="7">
        <v>-188.67886908329032</v>
      </c>
      <c r="AM73" s="7">
        <v>388345.89914809808</v>
      </c>
      <c r="AN73" s="7">
        <v>279861.74814535351</v>
      </c>
      <c r="AO73" s="7">
        <v>491261.33239508054</v>
      </c>
      <c r="AP73" s="7">
        <v>372878.8833208931</v>
      </c>
      <c r="AQ73" s="7">
        <v>-8.4173973640350255</v>
      </c>
      <c r="AR73" s="7">
        <v>-6.0660033910505353</v>
      </c>
      <c r="AS73" s="7">
        <v>-10.648089379663368</v>
      </c>
      <c r="AT73" s="7">
        <v>-8.0821497959803565</v>
      </c>
      <c r="AU73" s="7">
        <v>-84.173973640350269</v>
      </c>
      <c r="AV73" s="7">
        <v>-60.660033910505376</v>
      </c>
      <c r="AW73" s="7">
        <v>-106.48089379663371</v>
      </c>
      <c r="AX73" s="7">
        <v>-80.82149795980358</v>
      </c>
      <c r="AZ73" s="6"/>
      <c r="BA73" s="7"/>
      <c r="BB73" s="7"/>
      <c r="BC73" s="7"/>
      <c r="BD73" s="7"/>
      <c r="BE73" s="7"/>
    </row>
    <row r="74" spans="1:57">
      <c r="A74" s="6">
        <v>2090</v>
      </c>
      <c r="B74" s="7">
        <v>57140</v>
      </c>
      <c r="C74" s="7">
        <v>28570</v>
      </c>
      <c r="D74" s="7">
        <v>17142</v>
      </c>
      <c r="E74" s="8">
        <v>8571</v>
      </c>
      <c r="F74" s="8">
        <v>0</v>
      </c>
      <c r="G74" s="9">
        <v>-290.25670893143933</v>
      </c>
      <c r="H74" s="9">
        <v>-367.30628182694932</v>
      </c>
      <c r="I74" s="9">
        <v>-335.8972867007206</v>
      </c>
      <c r="J74" s="9">
        <v>-412.94685959623058</v>
      </c>
      <c r="K74" s="9">
        <v>-240.68288125020007</v>
      </c>
      <c r="L74" s="9">
        <v>-379.86642003742367</v>
      </c>
      <c r="M74" s="9">
        <v>-286.32345901948133</v>
      </c>
      <c r="N74" s="9">
        <v>-425.50699780670493</v>
      </c>
      <c r="O74" s="7">
        <v>292488.59309949406</v>
      </c>
      <c r="P74" s="7">
        <v>188419.09419064585</v>
      </c>
      <c r="Q74" s="7">
        <v>380526.96073760785</v>
      </c>
      <c r="R74" s="7">
        <v>303030.35051692853</v>
      </c>
      <c r="S74" s="7">
        <v>-81.910682643147055</v>
      </c>
      <c r="T74" s="7">
        <v>-67.593809847582534</v>
      </c>
      <c r="U74" s="7">
        <v>-112.13672613600359</v>
      </c>
      <c r="V74" s="7">
        <v>-82.325092722724008</v>
      </c>
      <c r="W74" s="7">
        <v>-122.69105514413818</v>
      </c>
      <c r="X74" s="7">
        <v>-87.886947745060525</v>
      </c>
      <c r="Y74" s="7">
        <v>-164.7533568474295</v>
      </c>
      <c r="Z74" s="7">
        <v>-125.00771782136161</v>
      </c>
      <c r="AA74" s="7">
        <v>0</v>
      </c>
      <c r="AB74" s="7">
        <v>0</v>
      </c>
      <c r="AC74" s="7">
        <v>0</v>
      </c>
      <c r="AD74" s="7">
        <v>0</v>
      </c>
      <c r="AE74" s="7">
        <v>-18.951054267882466</v>
      </c>
      <c r="AF74" s="7">
        <v>-15.414081007049809</v>
      </c>
      <c r="AG74" s="7">
        <v>-26.12089612253062</v>
      </c>
      <c r="AH74" s="7">
        <v>-19.000067240293774</v>
      </c>
      <c r="AI74" s="7">
        <v>-189.51054267882469</v>
      </c>
      <c r="AJ74" s="7">
        <v>-154.14081007049813</v>
      </c>
      <c r="AK74" s="7">
        <v>-261.20896122530627</v>
      </c>
      <c r="AL74" s="7">
        <v>-190.00067240293779</v>
      </c>
      <c r="AM74" s="7">
        <v>371750.55400621699</v>
      </c>
      <c r="AN74" s="7">
        <v>266295.05692781287</v>
      </c>
      <c r="AO74" s="7">
        <v>499198.18205542682</v>
      </c>
      <c r="AP74" s="7">
        <v>378769.97879388038</v>
      </c>
      <c r="AQ74" s="7">
        <v>-8.0576932580847522</v>
      </c>
      <c r="AR74" s="7">
        <v>-5.771945358910342</v>
      </c>
      <c r="AS74" s="7">
        <v>-10.820120596051373</v>
      </c>
      <c r="AT74" s="7">
        <v>-8.2098392903573547</v>
      </c>
      <c r="AU74" s="7">
        <v>-80.57693258084754</v>
      </c>
      <c r="AV74" s="7">
        <v>-57.719453589103431</v>
      </c>
      <c r="AW74" s="7">
        <v>-108.20120596051376</v>
      </c>
      <c r="AX74" s="7">
        <v>-82.098392903573583</v>
      </c>
      <c r="AZ74" s="6"/>
      <c r="BA74" s="7"/>
      <c r="BB74" s="7"/>
      <c r="BC74" s="7"/>
      <c r="BD74" s="7"/>
      <c r="BE74" s="7"/>
    </row>
    <row r="75" spans="1:57">
      <c r="A75" s="6">
        <v>2091</v>
      </c>
      <c r="B75" s="7">
        <v>57550</v>
      </c>
      <c r="C75" s="7">
        <v>28775</v>
      </c>
      <c r="D75" s="7">
        <v>17265</v>
      </c>
      <c r="E75" s="8">
        <v>8632.5</v>
      </c>
      <c r="F75" s="8">
        <v>0</v>
      </c>
      <c r="G75" s="9">
        <v>-269.75631276399014</v>
      </c>
      <c r="H75" s="9">
        <v>-354.18048533908984</v>
      </c>
      <c r="I75" s="9">
        <v>-316.0920720645214</v>
      </c>
      <c r="J75" s="9">
        <v>-400.51624463962111</v>
      </c>
      <c r="K75" s="9">
        <v>-246.90259940994929</v>
      </c>
      <c r="L75" s="9">
        <v>-383.71173506678974</v>
      </c>
      <c r="M75" s="9">
        <v>-293.23835871048055</v>
      </c>
      <c r="N75" s="9">
        <v>-430.04749436732101</v>
      </c>
      <c r="O75" s="7">
        <v>324028.25449956418</v>
      </c>
      <c r="P75" s="7">
        <v>211617.93853518454</v>
      </c>
      <c r="Q75" s="7">
        <v>382284.94311683986</v>
      </c>
      <c r="R75" s="7">
        <v>304895.05746647483</v>
      </c>
      <c r="S75" s="7">
        <v>-94.748338270304259</v>
      </c>
      <c r="T75" s="7">
        <v>-76.492668442040454</v>
      </c>
      <c r="U75" s="7">
        <v>-113.18329345969191</v>
      </c>
      <c r="V75" s="7">
        <v>-83.398690918947366</v>
      </c>
      <c r="W75" s="7">
        <v>-131.61211252080028</v>
      </c>
      <c r="X75" s="7">
        <v>-94.600212041443797</v>
      </c>
      <c r="Y75" s="7">
        <v>-167.55123477696819</v>
      </c>
      <c r="Z75" s="7">
        <v>-127.19338638552927</v>
      </c>
      <c r="AA75" s="7">
        <v>0</v>
      </c>
      <c r="AB75" s="7">
        <v>0</v>
      </c>
      <c r="AC75" s="7">
        <v>0</v>
      </c>
      <c r="AD75" s="7">
        <v>0</v>
      </c>
      <c r="AE75" s="7">
        <v>-20.892835535398664</v>
      </c>
      <c r="AF75" s="7">
        <v>-16.79352497304653</v>
      </c>
      <c r="AG75" s="7">
        <v>-26.604473293729306</v>
      </c>
      <c r="AH75" s="7">
        <v>-19.395291198513771</v>
      </c>
      <c r="AI75" s="7">
        <v>-208.92835535398669</v>
      </c>
      <c r="AJ75" s="7">
        <v>-167.93524973046533</v>
      </c>
      <c r="AK75" s="7">
        <v>-266.04473293729313</v>
      </c>
      <c r="AL75" s="7">
        <v>-193.95291198513775</v>
      </c>
      <c r="AM75" s="7">
        <v>398781.1147769207</v>
      </c>
      <c r="AN75" s="7">
        <v>286636.0648231213</v>
      </c>
      <c r="AO75" s="7">
        <v>507675.67594547314</v>
      </c>
      <c r="AP75" s="7">
        <v>385392.49498830672</v>
      </c>
      <c r="AQ75" s="7">
        <v>-8.6435806627897556</v>
      </c>
      <c r="AR75" s="7">
        <v>-6.2128367050411528</v>
      </c>
      <c r="AS75" s="7">
        <v>-11.003870276118127</v>
      </c>
      <c r="AT75" s="7">
        <v>-8.3533823288715467</v>
      </c>
      <c r="AU75" s="7">
        <v>-86.435806627897563</v>
      </c>
      <c r="AV75" s="7">
        <v>-62.128367050411541</v>
      </c>
      <c r="AW75" s="7">
        <v>-110.0387027611813</v>
      </c>
      <c r="AX75" s="7">
        <v>-83.533823288715482</v>
      </c>
      <c r="AZ75" s="6"/>
      <c r="BA75" s="7"/>
      <c r="BB75" s="7"/>
      <c r="BC75" s="7"/>
      <c r="BD75" s="7"/>
      <c r="BE75" s="7"/>
    </row>
    <row r="76" spans="1:57">
      <c r="A76" s="6">
        <v>2092</v>
      </c>
      <c r="B76" s="7">
        <v>57960</v>
      </c>
      <c r="C76" s="7">
        <v>28980</v>
      </c>
      <c r="D76" s="7">
        <v>17388</v>
      </c>
      <c r="E76" s="8">
        <v>8694</v>
      </c>
      <c r="F76" s="8">
        <v>0</v>
      </c>
      <c r="G76" s="9">
        <v>-270.90288313298248</v>
      </c>
      <c r="H76" s="9">
        <v>-355.20810693216583</v>
      </c>
      <c r="I76" s="9">
        <v>-317.93382396476375</v>
      </c>
      <c r="J76" s="9">
        <v>-402.2390477639471</v>
      </c>
      <c r="K76" s="9">
        <v>-257.80093400942422</v>
      </c>
      <c r="L76" s="9">
        <v>-391.33766198437149</v>
      </c>
      <c r="M76" s="9">
        <v>-304.83187484120549</v>
      </c>
      <c r="N76" s="9">
        <v>-438.36860281615276</v>
      </c>
      <c r="O76" s="7">
        <v>307384.08367166703</v>
      </c>
      <c r="P76" s="7">
        <v>219523.07106640853</v>
      </c>
      <c r="Q76" s="7">
        <v>384670.99099987064</v>
      </c>
      <c r="R76" s="7">
        <v>306778.89574135392</v>
      </c>
      <c r="S76" s="7">
        <v>-94.362985914512947</v>
      </c>
      <c r="T76" s="7">
        <v>-76.723025790506924</v>
      </c>
      <c r="U76" s="7">
        <v>-111.31537843638971</v>
      </c>
      <c r="V76" s="7">
        <v>-82.149056195287557</v>
      </c>
      <c r="W76" s="7">
        <v>-129.92415590047423</v>
      </c>
      <c r="X76" s="7">
        <v>-98.001708451739475</v>
      </c>
      <c r="Y76" s="7">
        <v>-170.4793852510598</v>
      </c>
      <c r="Z76" s="7">
        <v>-129.38076629003061</v>
      </c>
      <c r="AA76" s="7">
        <v>0</v>
      </c>
      <c r="AB76" s="7">
        <v>0</v>
      </c>
      <c r="AC76" s="7">
        <v>0</v>
      </c>
      <c r="AD76" s="7">
        <v>0</v>
      </c>
      <c r="AE76" s="7">
        <v>-21.134936811260783</v>
      </c>
      <c r="AF76" s="7">
        <v>-17.06021982329343</v>
      </c>
      <c r="AG76" s="7">
        <v>-26.707758526642827</v>
      </c>
      <c r="AH76" s="7">
        <v>-19.488125960768855</v>
      </c>
      <c r="AI76" s="7">
        <v>-211.34936811260789</v>
      </c>
      <c r="AJ76" s="7">
        <v>-170.60219823293434</v>
      </c>
      <c r="AK76" s="7">
        <v>-267.07758526642834</v>
      </c>
      <c r="AL76" s="7">
        <v>-194.88125960768861</v>
      </c>
      <c r="AM76" s="7">
        <v>393666.65221070126</v>
      </c>
      <c r="AN76" s="7">
        <v>296942.50626249134</v>
      </c>
      <c r="AO76" s="7">
        <v>516547.89209585421</v>
      </c>
      <c r="AP76" s="7">
        <v>392020.19649731345</v>
      </c>
      <c r="AQ76" s="7">
        <v>-8.5327246866669491</v>
      </c>
      <c r="AR76" s="7">
        <v>-6.4362288232394986</v>
      </c>
      <c r="AS76" s="7">
        <v>-11.196175561177638</v>
      </c>
      <c r="AT76" s="7">
        <v>-8.4970377590792676</v>
      </c>
      <c r="AU76" s="7">
        <v>-85.327246866669498</v>
      </c>
      <c r="AV76" s="7">
        <v>-64.362288232395002</v>
      </c>
      <c r="AW76" s="7">
        <v>-111.9617556117764</v>
      </c>
      <c r="AX76" s="7">
        <v>-84.970377590792694</v>
      </c>
      <c r="AZ76" s="6"/>
      <c r="BA76" s="7"/>
      <c r="BB76" s="7"/>
      <c r="BC76" s="7"/>
      <c r="BD76" s="7"/>
      <c r="BE76" s="7"/>
    </row>
    <row r="77" spans="1:57">
      <c r="A77" s="6">
        <v>2093</v>
      </c>
      <c r="B77" s="7">
        <v>58370</v>
      </c>
      <c r="C77" s="7">
        <v>29185</v>
      </c>
      <c r="D77" s="7">
        <v>17511</v>
      </c>
      <c r="E77" s="8">
        <v>8755.5</v>
      </c>
      <c r="F77" s="8">
        <v>0</v>
      </c>
      <c r="G77" s="9">
        <v>-251.80836861298812</v>
      </c>
      <c r="H77" s="9">
        <v>-344.32078189175763</v>
      </c>
      <c r="I77" s="9">
        <v>-299.53449097601936</v>
      </c>
      <c r="J77" s="9">
        <v>-392.0469042547889</v>
      </c>
      <c r="K77" s="9">
        <v>-263.25294924791871</v>
      </c>
      <c r="L77" s="9">
        <v>-394.62284451226088</v>
      </c>
      <c r="M77" s="9">
        <v>-310.97907161094997</v>
      </c>
      <c r="N77" s="9">
        <v>-442.34896687529215</v>
      </c>
      <c r="O77" s="7">
        <v>315839.2891839497</v>
      </c>
      <c r="P77" s="7">
        <v>195530.54720733326</v>
      </c>
      <c r="Q77" s="7">
        <v>391433.38855878112</v>
      </c>
      <c r="R77" s="7">
        <v>313702.07589654136</v>
      </c>
      <c r="S77" s="7">
        <v>-104.54891122306041</v>
      </c>
      <c r="T77" s="7">
        <v>-83.094063043957291</v>
      </c>
      <c r="U77" s="7">
        <v>-112.22114664489764</v>
      </c>
      <c r="V77" s="7">
        <v>-83.035330714945232</v>
      </c>
      <c r="W77" s="7">
        <v>-133.93812324320785</v>
      </c>
      <c r="X77" s="7">
        <v>-94.362770708100655</v>
      </c>
      <c r="Y77" s="7">
        <v>-174.37224876137901</v>
      </c>
      <c r="Z77" s="7">
        <v>-132.68730955447333</v>
      </c>
      <c r="AA77" s="7">
        <v>0</v>
      </c>
      <c r="AB77" s="7">
        <v>0</v>
      </c>
      <c r="AC77" s="7">
        <v>0</v>
      </c>
      <c r="AD77" s="7">
        <v>0</v>
      </c>
      <c r="AE77" s="7">
        <v>-22.766608832092324</v>
      </c>
      <c r="AF77" s="7">
        <v>-18.135491561982775</v>
      </c>
      <c r="AG77" s="7">
        <v>-27.17003295920842</v>
      </c>
      <c r="AH77" s="7">
        <v>-19.857997628675609</v>
      </c>
      <c r="AI77" s="7">
        <v>-227.66608832092328</v>
      </c>
      <c r="AJ77" s="7">
        <v>-181.35491561982778</v>
      </c>
      <c r="AK77" s="7">
        <v>-271.70032959208424</v>
      </c>
      <c r="AL77" s="7">
        <v>-198.57997628675614</v>
      </c>
      <c r="AM77" s="7">
        <v>405828.86388677696</v>
      </c>
      <c r="AN77" s="7">
        <v>285916.62405288266</v>
      </c>
      <c r="AO77" s="7">
        <v>528343.16245954623</v>
      </c>
      <c r="AP77" s="7">
        <v>402038.93249202817</v>
      </c>
      <c r="AQ77" s="7">
        <v>-8.7963406247458877</v>
      </c>
      <c r="AR77" s="7">
        <v>-6.1972428263462298</v>
      </c>
      <c r="AS77" s="7">
        <v>-11.451838046310662</v>
      </c>
      <c r="AT77" s="7">
        <v>-8.7141938617647092</v>
      </c>
      <c r="AU77" s="7">
        <v>-87.963406247458906</v>
      </c>
      <c r="AV77" s="7">
        <v>-61.972428263462319</v>
      </c>
      <c r="AW77" s="7">
        <v>-114.51838046310665</v>
      </c>
      <c r="AX77" s="7">
        <v>-87.141938617647099</v>
      </c>
      <c r="AZ77" s="6"/>
      <c r="BA77" s="7"/>
      <c r="BB77" s="7"/>
      <c r="BC77" s="7"/>
      <c r="BD77" s="7"/>
      <c r="BE77" s="7"/>
    </row>
    <row r="78" spans="1:57">
      <c r="A78" s="6">
        <v>2094</v>
      </c>
      <c r="B78" s="7">
        <v>58780</v>
      </c>
      <c r="C78" s="7">
        <v>29390</v>
      </c>
      <c r="D78" s="7">
        <v>17634</v>
      </c>
      <c r="E78" s="8">
        <v>8817</v>
      </c>
      <c r="F78" s="8">
        <v>0</v>
      </c>
      <c r="G78" s="9">
        <v>-254.22262045304632</v>
      </c>
      <c r="H78" s="9">
        <v>-346.64427281267342</v>
      </c>
      <c r="I78" s="9">
        <v>-302.64392434732758</v>
      </c>
      <c r="J78" s="9">
        <v>-395.06557670695469</v>
      </c>
      <c r="K78" s="9">
        <v>-275.52034250486832</v>
      </c>
      <c r="L78" s="9">
        <v>-402.66674535868896</v>
      </c>
      <c r="M78" s="9">
        <v>-323.94164639914959</v>
      </c>
      <c r="N78" s="9">
        <v>-451.08804925297022</v>
      </c>
      <c r="O78" s="7">
        <v>320429.62697106646</v>
      </c>
      <c r="P78" s="7">
        <v>197917.00419060676</v>
      </c>
      <c r="Q78" s="7">
        <v>391309.82335590705</v>
      </c>
      <c r="R78" s="7">
        <v>313676.82324742444</v>
      </c>
      <c r="S78" s="7">
        <v>-102.68070996947536</v>
      </c>
      <c r="T78" s="7">
        <v>-81.940947192045002</v>
      </c>
      <c r="U78" s="7">
        <v>-110.02483913149064</v>
      </c>
      <c r="V78" s="7">
        <v>-81.447281278524699</v>
      </c>
      <c r="W78" s="7">
        <v>-137.17923720419626</v>
      </c>
      <c r="X78" s="7">
        <v>-96.660689831260385</v>
      </c>
      <c r="Y78" s="7">
        <v>-176.71506729123141</v>
      </c>
      <c r="Z78" s="7">
        <v>-134.43645431233372</v>
      </c>
      <c r="AA78" s="7">
        <v>0</v>
      </c>
      <c r="AB78" s="7">
        <v>0</v>
      </c>
      <c r="AC78" s="7">
        <v>0</v>
      </c>
      <c r="AD78" s="7">
        <v>0</v>
      </c>
      <c r="AE78" s="7">
        <v>-22.844075188921622</v>
      </c>
      <c r="AF78" s="7">
        <v>-18.24065409505366</v>
      </c>
      <c r="AG78" s="7">
        <v>-27.226899428128849</v>
      </c>
      <c r="AH78" s="7">
        <v>-19.905018687368322</v>
      </c>
      <c r="AI78" s="7">
        <v>-228.44075188921627</v>
      </c>
      <c r="AJ78" s="7">
        <v>-182.40654095053665</v>
      </c>
      <c r="AK78" s="7">
        <v>-272.26899428128854</v>
      </c>
      <c r="AL78" s="7">
        <v>-199.05018687368326</v>
      </c>
      <c r="AM78" s="7">
        <v>415649.35087483993</v>
      </c>
      <c r="AN78" s="7">
        <v>292879.25638245651</v>
      </c>
      <c r="AO78" s="7">
        <v>535441.83876798186</v>
      </c>
      <c r="AP78" s="7">
        <v>407338.79344772513</v>
      </c>
      <c r="AQ78" s="7">
        <v>-9.0091996802121539</v>
      </c>
      <c r="AR78" s="7">
        <v>-6.348157882089744</v>
      </c>
      <c r="AS78" s="7">
        <v>-11.605701855296006</v>
      </c>
      <c r="AT78" s="7">
        <v>-8.8290683479794403</v>
      </c>
      <c r="AU78" s="7">
        <v>-90.091996802121557</v>
      </c>
      <c r="AV78" s="7">
        <v>-63.481578820897447</v>
      </c>
      <c r="AW78" s="7">
        <v>-116.05701855296007</v>
      </c>
      <c r="AX78" s="7">
        <v>-88.290683479794424</v>
      </c>
      <c r="AZ78" s="6"/>
      <c r="BA78" s="7"/>
      <c r="BB78" s="7"/>
      <c r="BC78" s="7"/>
      <c r="BD78" s="7"/>
      <c r="BE78" s="7"/>
    </row>
    <row r="79" spans="1:57">
      <c r="A79" s="6">
        <v>2095</v>
      </c>
      <c r="B79" s="7">
        <v>59190</v>
      </c>
      <c r="C79" s="7">
        <v>29595</v>
      </c>
      <c r="D79" s="7">
        <v>17757</v>
      </c>
      <c r="E79" s="8">
        <v>8878.5</v>
      </c>
      <c r="F79" s="8">
        <v>0</v>
      </c>
      <c r="G79" s="9">
        <v>-257.5578552981496</v>
      </c>
      <c r="H79" s="9">
        <v>-350.05745464845131</v>
      </c>
      <c r="I79" s="9">
        <v>-306.67434072368087</v>
      </c>
      <c r="J79" s="9">
        <v>-399.17394007398258</v>
      </c>
      <c r="K79" s="9">
        <v>-285.33189164613157</v>
      </c>
      <c r="L79" s="9">
        <v>-409.01855161482297</v>
      </c>
      <c r="M79" s="9">
        <v>-334.44837707166283</v>
      </c>
      <c r="N79" s="9">
        <v>-458.13503704035423</v>
      </c>
      <c r="O79" s="7">
        <v>302204.73809032381</v>
      </c>
      <c r="P79" s="7">
        <v>184463.87003390858</v>
      </c>
      <c r="Q79" s="7">
        <v>391012.20540677372</v>
      </c>
      <c r="R79" s="7">
        <v>313470.71053446282</v>
      </c>
      <c r="S79" s="7">
        <v>-100.87557744959889</v>
      </c>
      <c r="T79" s="7">
        <v>-80.546066336893304</v>
      </c>
      <c r="U79" s="7">
        <v>-108.77576448823298</v>
      </c>
      <c r="V79" s="7">
        <v>-80.453873144187597</v>
      </c>
      <c r="W79" s="7">
        <v>-135.29305937984196</v>
      </c>
      <c r="X79" s="7">
        <v>-95.398897759352849</v>
      </c>
      <c r="Y79" s="7">
        <v>-178.98113810633524</v>
      </c>
      <c r="Z79" s="7">
        <v>-136.11683732517838</v>
      </c>
      <c r="AA79" s="7">
        <v>0</v>
      </c>
      <c r="AB79" s="7">
        <v>0</v>
      </c>
      <c r="AC79" s="7">
        <v>0</v>
      </c>
      <c r="AD79" s="7">
        <v>0</v>
      </c>
      <c r="AE79" s="7">
        <v>-22.923878931113045</v>
      </c>
      <c r="AF79" s="7">
        <v>-18.310308824718703</v>
      </c>
      <c r="AG79" s="7">
        <v>-27.401425627303166</v>
      </c>
      <c r="AH79" s="7">
        <v>-20.025235325985118</v>
      </c>
      <c r="AI79" s="7">
        <v>-229.23878931113049</v>
      </c>
      <c r="AJ79" s="7">
        <v>-183.10308824718709</v>
      </c>
      <c r="AK79" s="7">
        <v>-274.01425627303172</v>
      </c>
      <c r="AL79" s="7">
        <v>-200.25235325985122</v>
      </c>
      <c r="AM79" s="7">
        <v>409934.28346153756</v>
      </c>
      <c r="AN79" s="7">
        <v>289056.06078583206</v>
      </c>
      <c r="AO79" s="7">
        <v>542307.9715919476</v>
      </c>
      <c r="AP79" s="7">
        <v>412430.30818964134</v>
      </c>
      <c r="AQ79" s="7">
        <v>-8.8853255940288243</v>
      </c>
      <c r="AR79" s="7">
        <v>-6.265290117532909</v>
      </c>
      <c r="AS79" s="7">
        <v>-11.754525284255463</v>
      </c>
      <c r="AT79" s="7">
        <v>-8.9394269300104749</v>
      </c>
      <c r="AU79" s="7">
        <v>-88.853255940288264</v>
      </c>
      <c r="AV79" s="7">
        <v>-62.652901175329099</v>
      </c>
      <c r="AW79" s="7">
        <v>-117.54525284255465</v>
      </c>
      <c r="AX79" s="7">
        <v>-89.394269300104767</v>
      </c>
      <c r="AZ79" s="6"/>
      <c r="BA79" s="7"/>
      <c r="BB79" s="7"/>
      <c r="BC79" s="7"/>
      <c r="BD79" s="7"/>
      <c r="BE79" s="7"/>
    </row>
    <row r="80" spans="1:57">
      <c r="A80" s="6">
        <v>2096</v>
      </c>
      <c r="B80" s="7">
        <v>59600</v>
      </c>
      <c r="C80" s="7">
        <v>29800</v>
      </c>
      <c r="D80" s="7">
        <v>17880</v>
      </c>
      <c r="E80" s="8">
        <v>8940</v>
      </c>
      <c r="F80" s="8">
        <v>0</v>
      </c>
      <c r="G80" s="9">
        <v>-262.267367849685</v>
      </c>
      <c r="H80" s="9">
        <v>-354.75633344945584</v>
      </c>
      <c r="I80" s="9">
        <v>-312.07903480646627</v>
      </c>
      <c r="J80" s="9">
        <v>-404.5680004062371</v>
      </c>
      <c r="K80" s="9">
        <v>-258.72946512397994</v>
      </c>
      <c r="L80" s="9">
        <v>-382.17707112624032</v>
      </c>
      <c r="M80" s="9">
        <v>-308.5411320807612</v>
      </c>
      <c r="N80" s="9">
        <v>-431.98873808302159</v>
      </c>
      <c r="O80" s="7">
        <v>329009.91769677377</v>
      </c>
      <c r="P80" s="7">
        <v>206771.42100800126</v>
      </c>
      <c r="Q80" s="7">
        <v>392245.45270170283</v>
      </c>
      <c r="R80" s="7">
        <v>311447.72951416945</v>
      </c>
      <c r="S80" s="7">
        <v>-99.219252717062147</v>
      </c>
      <c r="T80" s="7">
        <v>-78.927289824152851</v>
      </c>
      <c r="U80" s="7">
        <v>-126.48427911892547</v>
      </c>
      <c r="V80" s="7">
        <v>-96.779940903156898</v>
      </c>
      <c r="W80" s="7">
        <v>-143.40821060516811</v>
      </c>
      <c r="X80" s="7">
        <v>-102.07679276415062</v>
      </c>
      <c r="Y80" s="7">
        <v>-181.76706737149019</v>
      </c>
      <c r="Z80" s="7">
        <v>-137.55856273565672</v>
      </c>
      <c r="AA80" s="7">
        <v>0</v>
      </c>
      <c r="AB80" s="7">
        <v>0</v>
      </c>
      <c r="AC80" s="7">
        <v>0</v>
      </c>
      <c r="AD80" s="7">
        <v>0</v>
      </c>
      <c r="AE80" s="7">
        <v>-23.017504520867142</v>
      </c>
      <c r="AF80" s="7">
        <v>-18.346054763631368</v>
      </c>
      <c r="AG80" s="7">
        <v>-30.066228730062296</v>
      </c>
      <c r="AH80" s="7">
        <v>-22.421021947131891</v>
      </c>
      <c r="AI80" s="7">
        <v>-230.17504520867146</v>
      </c>
      <c r="AJ80" s="7">
        <v>-183.46054763631372</v>
      </c>
      <c r="AK80" s="7">
        <v>-300.66228730062301</v>
      </c>
      <c r="AL80" s="7">
        <v>-224.21021947131896</v>
      </c>
      <c r="AM80" s="7">
        <v>434522.97055298899</v>
      </c>
      <c r="AN80" s="7">
        <v>309289.90069137735</v>
      </c>
      <c r="AO80" s="7">
        <v>550749.26135448797</v>
      </c>
      <c r="AP80" s="7">
        <v>416798.69689931959</v>
      </c>
      <c r="AQ80" s="7">
        <v>-9.4182853867360361</v>
      </c>
      <c r="AR80" s="7">
        <v>-6.7038585974856035</v>
      </c>
      <c r="AS80" s="7">
        <v>-11.937490239858525</v>
      </c>
      <c r="AT80" s="7">
        <v>-9.0341117552927503</v>
      </c>
      <c r="AU80" s="7">
        <v>-94.182853867360379</v>
      </c>
      <c r="AV80" s="7">
        <v>-67.038585974856048</v>
      </c>
      <c r="AW80" s="7">
        <v>-119.37490239858528</v>
      </c>
      <c r="AX80" s="7">
        <v>-90.341117552927528</v>
      </c>
      <c r="AZ80" s="6"/>
      <c r="BA80" s="7"/>
      <c r="BB80" s="7"/>
      <c r="BC80" s="7"/>
      <c r="BD80" s="7"/>
      <c r="BE80" s="7"/>
    </row>
    <row r="81" spans="1:57">
      <c r="A81" s="6">
        <v>2097</v>
      </c>
      <c r="B81" s="7">
        <v>60010</v>
      </c>
      <c r="C81" s="7">
        <v>30005</v>
      </c>
      <c r="D81" s="7">
        <v>18003</v>
      </c>
      <c r="E81" s="8">
        <v>9001.5</v>
      </c>
      <c r="F81" s="8">
        <v>0</v>
      </c>
      <c r="G81" s="9">
        <v>-267.41496489363226</v>
      </c>
      <c r="H81" s="9">
        <v>-359.2143449629649</v>
      </c>
      <c r="I81" s="9">
        <v>-317.92181338166353</v>
      </c>
      <c r="J81" s="9">
        <v>-409.72119345099617</v>
      </c>
      <c r="K81" s="9">
        <v>-261.81121606652994</v>
      </c>
      <c r="L81" s="9">
        <v>-382.78358328297401</v>
      </c>
      <c r="M81" s="9">
        <v>-312.3180645545612</v>
      </c>
      <c r="N81" s="9">
        <v>-433.29043177100527</v>
      </c>
      <c r="O81" s="7">
        <v>340697.03379098832</v>
      </c>
      <c r="P81" s="7">
        <v>225472.24204932016</v>
      </c>
      <c r="Q81" s="7">
        <v>410494.40930425253</v>
      </c>
      <c r="R81" s="7">
        <v>326787.25445328635</v>
      </c>
      <c r="S81" s="7">
        <v>-97.587011630827121</v>
      </c>
      <c r="T81" s="7">
        <v>-77.71106287280405</v>
      </c>
      <c r="U81" s="7">
        <v>-125.59239324423875</v>
      </c>
      <c r="V81" s="7">
        <v>-96.106679910490797</v>
      </c>
      <c r="W81" s="7">
        <v>-148.11642292849834</v>
      </c>
      <c r="X81" s="7">
        <v>-107.91930900006058</v>
      </c>
      <c r="Y81" s="7">
        <v>-188.52733345786828</v>
      </c>
      <c r="Z81" s="7">
        <v>-143.03956128379534</v>
      </c>
      <c r="AA81" s="7">
        <v>0</v>
      </c>
      <c r="AB81" s="7">
        <v>0</v>
      </c>
      <c r="AC81" s="7">
        <v>0</v>
      </c>
      <c r="AD81" s="7">
        <v>0</v>
      </c>
      <c r="AE81" s="7">
        <v>-23.109013484549404</v>
      </c>
      <c r="AF81" s="7">
        <v>-18.429618355789788</v>
      </c>
      <c r="AG81" s="7">
        <v>-30.339072484828865</v>
      </c>
      <c r="AH81" s="7">
        <v>-22.631199912351434</v>
      </c>
      <c r="AI81" s="7">
        <v>-231.09013484549408</v>
      </c>
      <c r="AJ81" s="7">
        <v>-184.29618355789793</v>
      </c>
      <c r="AK81" s="7">
        <v>-303.3907248482887</v>
      </c>
      <c r="AL81" s="7">
        <v>-226.3119991235144</v>
      </c>
      <c r="AM81" s="7">
        <v>448788.72560351546</v>
      </c>
      <c r="AN81" s="7">
        <v>326992.56568955688</v>
      </c>
      <c r="AO81" s="7">
        <v>571232.68339277816</v>
      </c>
      <c r="AP81" s="7">
        <v>433405.97315417009</v>
      </c>
      <c r="AQ81" s="7">
        <v>-9.7274956274561966</v>
      </c>
      <c r="AR81" s="7">
        <v>-7.0875638613211445</v>
      </c>
      <c r="AS81" s="7">
        <v>-12.381468412538464</v>
      </c>
      <c r="AT81" s="7">
        <v>-9.394074468116635</v>
      </c>
      <c r="AU81" s="7">
        <v>-97.274956274561973</v>
      </c>
      <c r="AV81" s="7">
        <v>-70.875638613211464</v>
      </c>
      <c r="AW81" s="7">
        <v>-123.81468412538467</v>
      </c>
      <c r="AX81" s="7">
        <v>-93.940744681166365</v>
      </c>
      <c r="AZ81" s="6"/>
      <c r="BA81" s="7"/>
      <c r="BB81" s="7"/>
      <c r="BC81" s="7"/>
      <c r="BD81" s="7"/>
      <c r="BE81" s="7"/>
    </row>
    <row r="82" spans="1:57">
      <c r="A82" s="6">
        <v>2098</v>
      </c>
      <c r="B82" s="7">
        <v>60420</v>
      </c>
      <c r="C82" s="7">
        <v>30210</v>
      </c>
      <c r="D82" s="7">
        <v>18126</v>
      </c>
      <c r="E82" s="8">
        <v>9063</v>
      </c>
      <c r="F82" s="8">
        <v>0</v>
      </c>
      <c r="G82" s="9">
        <v>-272.9390228488756</v>
      </c>
      <c r="H82" s="9">
        <v>-364.56764431489711</v>
      </c>
      <c r="I82" s="9">
        <v>-324.14105286815686</v>
      </c>
      <c r="J82" s="9">
        <v>-415.76967433417838</v>
      </c>
      <c r="K82" s="9">
        <v>-267.30970610590231</v>
      </c>
      <c r="L82" s="9">
        <v>-385.36506889540044</v>
      </c>
      <c r="M82" s="9">
        <v>-318.51173612518357</v>
      </c>
      <c r="N82" s="9">
        <v>-436.56709891468171</v>
      </c>
      <c r="O82" s="7">
        <v>347383.77443366934</v>
      </c>
      <c r="P82" s="7">
        <v>263775.59360889246</v>
      </c>
      <c r="Q82" s="7">
        <v>414655.37439227826</v>
      </c>
      <c r="R82" s="7">
        <v>331668.01392325229</v>
      </c>
      <c r="S82" s="7">
        <v>-95.866282534529532</v>
      </c>
      <c r="T82" s="7">
        <v>-76.100642096868782</v>
      </c>
      <c r="U82" s="7">
        <v>-123.75091577432381</v>
      </c>
      <c r="V82" s="7">
        <v>-94.65896788245071</v>
      </c>
      <c r="W82" s="7">
        <v>-151.67279621307719</v>
      </c>
      <c r="X82" s="7">
        <v>-118.10109628442501</v>
      </c>
      <c r="Y82" s="7">
        <v>-192.11617544460634</v>
      </c>
      <c r="Z82" s="7">
        <v>-146.16508191903054</v>
      </c>
      <c r="AA82" s="7">
        <v>0</v>
      </c>
      <c r="AB82" s="7">
        <v>0</v>
      </c>
      <c r="AC82" s="7">
        <v>0</v>
      </c>
      <c r="AD82" s="7">
        <v>0</v>
      </c>
      <c r="AE82" s="7">
        <v>-23.183675598016716</v>
      </c>
      <c r="AF82" s="7">
        <v>-18.457435553197378</v>
      </c>
      <c r="AG82" s="7">
        <v>-30.484067940777145</v>
      </c>
      <c r="AH82" s="7">
        <v>-22.737280242301768</v>
      </c>
      <c r="AI82" s="7">
        <v>-231.8367559801672</v>
      </c>
      <c r="AJ82" s="7">
        <v>-184.57435553197382</v>
      </c>
      <c r="AK82" s="7">
        <v>-304.84067940777152</v>
      </c>
      <c r="AL82" s="7">
        <v>-227.37280242301773</v>
      </c>
      <c r="AM82" s="7">
        <v>459564.43975188519</v>
      </c>
      <c r="AN82" s="7">
        <v>357843.10372828512</v>
      </c>
      <c r="AO82" s="7">
        <v>582106.77682398434</v>
      </c>
      <c r="AP82" s="7">
        <v>442876.21551488282</v>
      </c>
      <c r="AQ82" s="7">
        <v>-9.9610592316221087</v>
      </c>
      <c r="AR82" s="7">
        <v>-7.7562492733105781</v>
      </c>
      <c r="AS82" s="7">
        <v>-12.617164387659859</v>
      </c>
      <c r="AT82" s="7">
        <v>-9.5993419712850834</v>
      </c>
      <c r="AU82" s="7">
        <v>-99.610592316221116</v>
      </c>
      <c r="AV82" s="7">
        <v>-77.562492733105799</v>
      </c>
      <c r="AW82" s="7">
        <v>-126.17164387659861</v>
      </c>
      <c r="AX82" s="7">
        <v>-95.993419712850852</v>
      </c>
      <c r="AZ82" s="6"/>
      <c r="BA82" s="7"/>
      <c r="BB82" s="7"/>
      <c r="BC82" s="7"/>
      <c r="BD82" s="7"/>
      <c r="BE82" s="7"/>
    </row>
    <row r="83" spans="1:57">
      <c r="A83" s="6">
        <v>2099</v>
      </c>
      <c r="B83" s="7">
        <v>60830</v>
      </c>
      <c r="C83" s="7">
        <v>30415</v>
      </c>
      <c r="D83" s="7">
        <v>18249</v>
      </c>
      <c r="E83" s="8">
        <v>9124.5</v>
      </c>
      <c r="F83" s="8">
        <v>0</v>
      </c>
      <c r="G83" s="9">
        <v>-271.67016764181813</v>
      </c>
      <c r="H83" s="9">
        <v>-369.49851965865594</v>
      </c>
      <c r="I83" s="9">
        <v>-323.56737919234939</v>
      </c>
      <c r="J83" s="9">
        <v>-421.3957312091872</v>
      </c>
      <c r="K83" s="9">
        <v>-268.60035758978626</v>
      </c>
      <c r="L83" s="9">
        <v>-385.20570694053822</v>
      </c>
      <c r="M83" s="9">
        <v>-320.49756914031752</v>
      </c>
      <c r="N83" s="9">
        <v>-437.10291849106949</v>
      </c>
      <c r="O83" s="7">
        <v>356660.94923937507</v>
      </c>
      <c r="P83" s="7">
        <v>220706.47933494666</v>
      </c>
      <c r="Q83" s="7">
        <v>414496.29474588361</v>
      </c>
      <c r="R83" s="7">
        <v>332460.38963737356</v>
      </c>
      <c r="S83" s="7">
        <v>-98.011427269383361</v>
      </c>
      <c r="T83" s="7">
        <v>-75.176175477733452</v>
      </c>
      <c r="U83" s="7">
        <v>-124.43311328963121</v>
      </c>
      <c r="V83" s="7">
        <v>-94.983780809510222</v>
      </c>
      <c r="W83" s="7">
        <v>-155.81085927937383</v>
      </c>
      <c r="X83" s="7">
        <v>-110.11276733352679</v>
      </c>
      <c r="Y83" s="7">
        <v>-194.72862774303752</v>
      </c>
      <c r="Z83" s="7">
        <v>-148.36637374049408</v>
      </c>
      <c r="AA83" s="7">
        <v>0</v>
      </c>
      <c r="AB83" s="7">
        <v>0</v>
      </c>
      <c r="AC83" s="7">
        <v>0</v>
      </c>
      <c r="AD83" s="7">
        <v>0</v>
      </c>
      <c r="AE83" s="7">
        <v>-23.761500177498352</v>
      </c>
      <c r="AF83" s="7">
        <v>-18.570393678714538</v>
      </c>
      <c r="AG83" s="7">
        <v>-30.955230879354019</v>
      </c>
      <c r="AH83" s="7">
        <v>-23.071952431439414</v>
      </c>
      <c r="AI83" s="7">
        <v>-237.61500177498357</v>
      </c>
      <c r="AJ83" s="7">
        <v>-185.70393678714544</v>
      </c>
      <c r="AK83" s="7">
        <v>-309.55230879354025</v>
      </c>
      <c r="AL83" s="7">
        <v>-230.71952431439419</v>
      </c>
      <c r="AM83" s="7">
        <v>472102.6580890019</v>
      </c>
      <c r="AN83" s="7">
        <v>333638.68467270251</v>
      </c>
      <c r="AO83" s="7">
        <v>590022.43610424455</v>
      </c>
      <c r="AP83" s="7">
        <v>449546.06975321367</v>
      </c>
      <c r="AQ83" s="7">
        <v>-10.232825114079114</v>
      </c>
      <c r="AR83" s="7">
        <v>-7.2316184902808258</v>
      </c>
      <c r="AS83" s="7">
        <v>-12.788736302559499</v>
      </c>
      <c r="AT83" s="7">
        <v>-9.7439110619009046</v>
      </c>
      <c r="AU83" s="7">
        <v>-102.32825114079117</v>
      </c>
      <c r="AV83" s="7">
        <v>-72.316184902808274</v>
      </c>
      <c r="AW83" s="7">
        <v>-127.88736302559501</v>
      </c>
      <c r="AX83" s="7">
        <v>-97.439110619009057</v>
      </c>
      <c r="AZ83" s="6"/>
      <c r="BA83" s="7"/>
      <c r="BB83" s="7"/>
      <c r="BC83" s="7"/>
      <c r="BD83" s="7"/>
      <c r="BE83" s="7"/>
    </row>
    <row r="84" spans="1:57">
      <c r="A84" s="6">
        <v>2100</v>
      </c>
      <c r="B84" s="7">
        <v>61240</v>
      </c>
      <c r="C84" s="7">
        <v>30620</v>
      </c>
      <c r="D84" s="7">
        <v>18372</v>
      </c>
      <c r="E84" s="8">
        <v>9186</v>
      </c>
      <c r="F84" s="8">
        <v>0</v>
      </c>
      <c r="G84" s="9">
        <v>-276.74990011369158</v>
      </c>
      <c r="H84" s="9">
        <v>-374.36753195531838</v>
      </c>
      <c r="I84" s="9">
        <v>-329.34229319547285</v>
      </c>
      <c r="J84" s="9">
        <v>-426.95992503709965</v>
      </c>
      <c r="K84" s="9">
        <v>-274.59644136283731</v>
      </c>
      <c r="L84" s="9">
        <v>-386.89327148920171</v>
      </c>
      <c r="M84" s="9">
        <v>-327.18883444461858</v>
      </c>
      <c r="N84" s="9">
        <v>-439.48566457098298</v>
      </c>
      <c r="O84" s="7">
        <v>330947.88502350409</v>
      </c>
      <c r="P84" s="7">
        <v>200984.14560467168</v>
      </c>
      <c r="Q84" s="7">
        <v>413686.36010068894</v>
      </c>
      <c r="R84" s="7">
        <v>329361.05834160623</v>
      </c>
      <c r="S84" s="7">
        <v>-96.620080067002121</v>
      </c>
      <c r="T84" s="7">
        <v>-74.288848623094509</v>
      </c>
      <c r="U84" s="7">
        <v>-122.69920379613968</v>
      </c>
      <c r="V84" s="7">
        <v>-94.030163754865654</v>
      </c>
      <c r="W84" s="7">
        <v>-152.15515650314876</v>
      </c>
      <c r="X84" s="7">
        <v>-107.30957358887431</v>
      </c>
      <c r="Y84" s="7">
        <v>-197.1837160821365</v>
      </c>
      <c r="Z84" s="7">
        <v>-149.69252524932142</v>
      </c>
      <c r="AA84" s="7">
        <v>0</v>
      </c>
      <c r="AB84" s="7">
        <v>0</v>
      </c>
      <c r="AC84" s="7">
        <v>0</v>
      </c>
      <c r="AD84" s="7">
        <v>0</v>
      </c>
      <c r="AE84" s="7">
        <v>-23.880649032896912</v>
      </c>
      <c r="AF84" s="7">
        <v>-18.685278390528214</v>
      </c>
      <c r="AG84" s="7">
        <v>-31.110529854200813</v>
      </c>
      <c r="AH84" s="7">
        <v>-23.239349072159069</v>
      </c>
      <c r="AI84" s="7">
        <v>-238.80649032896918</v>
      </c>
      <c r="AJ84" s="7">
        <v>-186.85278390528219</v>
      </c>
      <c r="AK84" s="7">
        <v>-311.1052985420082</v>
      </c>
      <c r="AL84" s="7">
        <v>-232.39349072159072</v>
      </c>
      <c r="AM84" s="7">
        <v>461025.97828746983</v>
      </c>
      <c r="AN84" s="7">
        <v>325145.08400770643</v>
      </c>
      <c r="AO84" s="7">
        <v>597461.28687557438</v>
      </c>
      <c r="AP84" s="7">
        <v>453564.27269004204</v>
      </c>
      <c r="AQ84" s="7">
        <v>-9.9927380793809064</v>
      </c>
      <c r="AR84" s="7">
        <v>-7.0475196958670363</v>
      </c>
      <c r="AS84" s="7">
        <v>-12.94997339302807</v>
      </c>
      <c r="AT84" s="7">
        <v>-9.8310056105566588</v>
      </c>
      <c r="AU84" s="7">
        <v>-99.927380793809078</v>
      </c>
      <c r="AV84" s="7">
        <v>-70.475196958670381</v>
      </c>
      <c r="AW84" s="7">
        <v>-129.49973393028074</v>
      </c>
      <c r="AX84" s="7">
        <v>-98.310056105566616</v>
      </c>
      <c r="AZ84" s="6"/>
      <c r="BA84" s="7"/>
      <c r="BB84" s="7"/>
      <c r="BC84" s="7"/>
      <c r="BD84" s="7"/>
      <c r="BE84" s="7"/>
    </row>
    <row r="85" spans="1:57">
      <c r="K85" s="9"/>
      <c r="L85" s="9"/>
      <c r="M85" s="9"/>
      <c r="N85" s="9"/>
      <c r="O85" s="7"/>
      <c r="P85" s="7"/>
      <c r="Q85" s="7"/>
      <c r="R85" s="7"/>
      <c r="S85" s="7"/>
      <c r="T85" s="7"/>
      <c r="U85" s="7"/>
      <c r="V85" s="7"/>
    </row>
    <row r="86" spans="1:57"/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4EDC8-A824-4B64-A342-68816A2A7554}">
  <dimension ref="A1:D11"/>
  <sheetViews>
    <sheetView workbookViewId="0">
      <selection activeCell="D11" sqref="D11"/>
    </sheetView>
  </sheetViews>
  <sheetFormatPr defaultRowHeight="15"/>
  <sheetData>
    <row r="1" spans="1:4">
      <c r="A1" t="s">
        <v>27</v>
      </c>
      <c r="B1" t="s">
        <v>0</v>
      </c>
      <c r="C1" t="s">
        <v>20</v>
      </c>
      <c r="D1" t="s">
        <v>28</v>
      </c>
    </row>
    <row r="2" spans="1:4">
      <c r="A2" t="s">
        <v>29</v>
      </c>
      <c r="B2" t="s">
        <v>4</v>
      </c>
      <c r="C2" t="s">
        <v>21</v>
      </c>
      <c r="D2" t="s">
        <v>21</v>
      </c>
    </row>
    <row r="3" spans="1:4">
      <c r="A3" t="s">
        <v>29</v>
      </c>
      <c r="B3" t="s">
        <v>6</v>
      </c>
      <c r="C3" t="s">
        <v>21</v>
      </c>
      <c r="D3" t="s">
        <v>21</v>
      </c>
    </row>
    <row r="4" spans="1:4">
      <c r="A4" t="s">
        <v>29</v>
      </c>
      <c r="B4" t="s">
        <v>7</v>
      </c>
      <c r="C4" t="s">
        <v>21</v>
      </c>
      <c r="D4" t="s">
        <v>22</v>
      </c>
    </row>
    <row r="5" spans="1:4">
      <c r="A5" t="s">
        <v>29</v>
      </c>
      <c r="B5" t="s">
        <v>8</v>
      </c>
      <c r="C5" t="s">
        <v>22</v>
      </c>
      <c r="D5" t="s">
        <v>22</v>
      </c>
    </row>
    <row r="6" spans="1:4">
      <c r="A6" t="s">
        <v>29</v>
      </c>
      <c r="B6" t="s">
        <v>10</v>
      </c>
      <c r="C6" t="s">
        <v>22</v>
      </c>
      <c r="D6" t="s">
        <v>22</v>
      </c>
    </row>
    <row r="7" spans="1:4">
      <c r="A7" t="s">
        <v>30</v>
      </c>
      <c r="B7" t="s">
        <v>4</v>
      </c>
      <c r="C7" t="s">
        <v>21</v>
      </c>
      <c r="D7" t="s">
        <v>21</v>
      </c>
    </row>
    <row r="8" spans="1:4">
      <c r="A8" t="s">
        <v>30</v>
      </c>
      <c r="B8" t="s">
        <v>6</v>
      </c>
      <c r="C8" t="s">
        <v>21</v>
      </c>
      <c r="D8" t="s">
        <v>21</v>
      </c>
    </row>
    <row r="9" spans="1:4">
      <c r="A9" t="s">
        <v>30</v>
      </c>
      <c r="B9" t="s">
        <v>7</v>
      </c>
      <c r="C9" t="s">
        <v>21</v>
      </c>
      <c r="D9" t="s">
        <v>21</v>
      </c>
    </row>
    <row r="10" spans="1:4">
      <c r="A10" t="s">
        <v>30</v>
      </c>
      <c r="B10" t="s">
        <v>8</v>
      </c>
      <c r="C10" t="s">
        <v>22</v>
      </c>
      <c r="D10" t="s">
        <v>22</v>
      </c>
    </row>
    <row r="11" spans="1:4">
      <c r="A11" t="s">
        <v>30</v>
      </c>
      <c r="B11" t="s">
        <v>10</v>
      </c>
      <c r="C11" t="s">
        <v>22</v>
      </c>
      <c r="D11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890E3-5A87-4964-A460-B7480D8C3A7A}">
  <dimension ref="A1:X85"/>
  <sheetViews>
    <sheetView workbookViewId="0">
      <selection activeCell="A2" sqref="A2"/>
    </sheetView>
  </sheetViews>
  <sheetFormatPr defaultRowHeight="15"/>
  <sheetData>
    <row r="1" spans="1:24">
      <c r="A1" s="11" t="s">
        <v>0</v>
      </c>
      <c r="B1" s="3" t="s">
        <v>31</v>
      </c>
      <c r="C1" s="11" t="s">
        <v>1</v>
      </c>
      <c r="D1" s="11" t="s">
        <v>2</v>
      </c>
      <c r="E1" s="11" t="s">
        <v>32</v>
      </c>
      <c r="F1" s="11" t="s">
        <v>33</v>
      </c>
      <c r="G1" s="11" t="s">
        <v>34</v>
      </c>
      <c r="H1" s="11" t="s">
        <v>35</v>
      </c>
      <c r="I1" s="11" t="s">
        <v>36</v>
      </c>
      <c r="J1" s="11" t="s">
        <v>37</v>
      </c>
      <c r="K1" s="11" t="s">
        <v>35</v>
      </c>
      <c r="L1" s="11" t="s">
        <v>36</v>
      </c>
      <c r="M1" s="11" t="s">
        <v>37</v>
      </c>
      <c r="N1" s="11" t="s">
        <v>38</v>
      </c>
      <c r="O1" s="11" t="s">
        <v>38</v>
      </c>
      <c r="P1" s="11"/>
      <c r="Q1" s="11"/>
      <c r="R1" s="11"/>
      <c r="S1" s="11"/>
      <c r="T1" s="11"/>
      <c r="U1" s="11"/>
      <c r="V1" s="11"/>
      <c r="W1" s="11"/>
      <c r="X1" s="11"/>
    </row>
    <row r="2" spans="1:24">
      <c r="A2" s="3" t="s">
        <v>20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11" t="s">
        <v>21</v>
      </c>
      <c r="I2" s="11" t="s">
        <v>21</v>
      </c>
      <c r="J2" s="11" t="s">
        <v>21</v>
      </c>
      <c r="K2" s="11" t="s">
        <v>22</v>
      </c>
      <c r="L2" s="11" t="s">
        <v>22</v>
      </c>
      <c r="M2" s="11" t="s">
        <v>22</v>
      </c>
      <c r="N2" s="11" t="s">
        <v>21</v>
      </c>
      <c r="O2" s="11" t="s">
        <v>22</v>
      </c>
      <c r="P2" s="3"/>
      <c r="Q2" s="3"/>
      <c r="R2" s="3"/>
      <c r="S2" s="3"/>
      <c r="T2" s="3"/>
      <c r="U2" s="3"/>
      <c r="V2" s="3"/>
      <c r="W2" s="3"/>
      <c r="X2" s="3"/>
    </row>
    <row r="3" spans="1:24">
      <c r="A3" s="3" t="s">
        <v>11</v>
      </c>
      <c r="B3" s="11" t="s">
        <v>39</v>
      </c>
      <c r="C3" s="11" t="s">
        <v>40</v>
      </c>
      <c r="D3" s="11" t="s">
        <v>40</v>
      </c>
      <c r="E3" s="9" t="s">
        <v>41</v>
      </c>
      <c r="F3" s="9" t="s">
        <v>41</v>
      </c>
      <c r="G3" s="7" t="s">
        <v>41</v>
      </c>
      <c r="H3" s="7" t="s">
        <v>41</v>
      </c>
      <c r="I3" s="7" t="s">
        <v>41</v>
      </c>
      <c r="J3" s="7" t="s">
        <v>41</v>
      </c>
      <c r="K3" s="7" t="s">
        <v>41</v>
      </c>
      <c r="L3" s="7" t="s">
        <v>41</v>
      </c>
      <c r="M3" s="7" t="s">
        <v>41</v>
      </c>
      <c r="N3" s="7" t="s">
        <v>42</v>
      </c>
      <c r="O3" s="7" t="s">
        <v>42</v>
      </c>
      <c r="P3" s="3"/>
      <c r="Q3" s="3"/>
      <c r="R3" s="3"/>
      <c r="S3" s="3"/>
      <c r="T3" s="3"/>
      <c r="U3" s="3"/>
      <c r="V3" s="3"/>
      <c r="W3" s="3"/>
      <c r="X3" s="3"/>
    </row>
    <row r="4" spans="1:24">
      <c r="A4" s="11" t="s">
        <v>23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>
      <c r="A5" s="6">
        <v>2020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1"/>
      <c r="Q5" s="11"/>
      <c r="R5" s="11"/>
      <c r="S5" s="11"/>
      <c r="T5" s="11"/>
      <c r="U5" s="11"/>
      <c r="V5" s="11"/>
      <c r="W5" s="11"/>
      <c r="X5" s="11"/>
    </row>
    <row r="6" spans="1:24">
      <c r="A6" s="6">
        <v>2021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1"/>
      <c r="Q6" s="11"/>
      <c r="R6" s="11"/>
      <c r="S6" s="11"/>
      <c r="T6" s="11"/>
      <c r="U6" s="11"/>
      <c r="V6" s="11"/>
      <c r="W6" s="11"/>
      <c r="X6" s="11"/>
    </row>
    <row r="7" spans="1:24">
      <c r="A7" s="6">
        <v>2022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1"/>
      <c r="Q7" s="11"/>
      <c r="R7" s="11"/>
      <c r="S7" s="11"/>
      <c r="T7" s="11"/>
      <c r="U7" s="11"/>
      <c r="V7" s="11"/>
      <c r="W7" s="11"/>
      <c r="X7" s="11"/>
    </row>
    <row r="8" spans="1:24">
      <c r="A8" s="6">
        <v>2023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1"/>
      <c r="Q8" s="11"/>
      <c r="R8" s="11"/>
      <c r="S8" s="11"/>
      <c r="T8" s="11"/>
      <c r="U8" s="11"/>
      <c r="V8" s="11"/>
      <c r="W8" s="11"/>
      <c r="X8" s="11"/>
    </row>
    <row r="9" spans="1:24">
      <c r="A9" s="6">
        <v>2024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s="7"/>
      <c r="Q9" s="7"/>
      <c r="R9" s="7"/>
      <c r="S9" s="7"/>
      <c r="T9" s="7"/>
      <c r="U9" s="7"/>
      <c r="V9" s="7"/>
      <c r="W9" s="7"/>
      <c r="X9" s="7"/>
    </row>
    <row r="10" spans="1:24">
      <c r="A10" s="6">
        <v>2025</v>
      </c>
      <c r="B10" s="7">
        <v>1100</v>
      </c>
      <c r="C10" s="7">
        <v>21.6666666666667</v>
      </c>
      <c r="D10" s="7">
        <v>0</v>
      </c>
      <c r="E10" s="9">
        <v>0</v>
      </c>
      <c r="F10" s="9">
        <v>1.4683184983884734</v>
      </c>
      <c r="G10" s="7">
        <v>4.6242096344047939E-2</v>
      </c>
      <c r="H10" s="7">
        <v>-127.48960484532009</v>
      </c>
      <c r="I10" s="7">
        <v>0</v>
      </c>
      <c r="J10" s="7">
        <v>0</v>
      </c>
      <c r="K10" s="7">
        <v>-127.48960484532009</v>
      </c>
      <c r="L10" s="7">
        <v>0</v>
      </c>
      <c r="M10" s="7">
        <v>0</v>
      </c>
      <c r="N10" s="7">
        <v>0</v>
      </c>
      <c r="O10" s="7">
        <v>0</v>
      </c>
      <c r="P10" s="7"/>
      <c r="Q10" s="7"/>
      <c r="R10" s="7"/>
      <c r="S10" s="7"/>
      <c r="T10" s="7"/>
      <c r="U10" s="7"/>
      <c r="V10" s="7"/>
      <c r="W10" s="7"/>
      <c r="X10" s="7"/>
    </row>
    <row r="11" spans="1:24">
      <c r="A11" s="6">
        <v>2026</v>
      </c>
      <c r="B11" s="7">
        <v>2050</v>
      </c>
      <c r="C11" s="7">
        <v>43.333333333333336</v>
      </c>
      <c r="D11" s="7">
        <v>0</v>
      </c>
      <c r="E11" s="9">
        <v>0</v>
      </c>
      <c r="F11" s="9">
        <v>2.1756255898949743</v>
      </c>
      <c r="G11" s="7">
        <v>3.7755752810037291E-2</v>
      </c>
      <c r="H11" s="7">
        <v>-388.64161160047479</v>
      </c>
      <c r="I11" s="7">
        <v>-0.20666461500000002</v>
      </c>
      <c r="J11" s="7">
        <v>-2.5259612519270336E-2</v>
      </c>
      <c r="K11" s="7">
        <v>-388.64161160047479</v>
      </c>
      <c r="L11" s="7">
        <v>-0.20666461500000002</v>
      </c>
      <c r="M11" s="7">
        <v>-2.5259612519270336E-2</v>
      </c>
      <c r="N11" s="7">
        <v>0</v>
      </c>
      <c r="O11" s="7">
        <v>0</v>
      </c>
      <c r="P11" s="7"/>
      <c r="Q11" s="7"/>
      <c r="R11" s="7"/>
      <c r="S11" s="7"/>
      <c r="T11" s="7"/>
      <c r="U11" s="7"/>
      <c r="V11" s="7"/>
      <c r="W11" s="7"/>
      <c r="X11" s="7"/>
    </row>
    <row r="12" spans="1:24">
      <c r="A12" s="6">
        <v>2027</v>
      </c>
      <c r="B12" s="7">
        <v>3000</v>
      </c>
      <c r="C12" s="7">
        <v>65</v>
      </c>
      <c r="D12" s="7">
        <v>0</v>
      </c>
      <c r="E12" s="9">
        <v>0</v>
      </c>
      <c r="F12" s="9">
        <v>2.8827730057471812</v>
      </c>
      <c r="G12" s="7">
        <v>2.9269409276026642E-2</v>
      </c>
      <c r="H12" s="7">
        <v>-649.76553050528821</v>
      </c>
      <c r="I12" s="7">
        <v>-0.41332923000000005</v>
      </c>
      <c r="J12" s="7">
        <v>-5.0519225038540672E-2</v>
      </c>
      <c r="K12" s="7">
        <v>-649.76553050528821</v>
      </c>
      <c r="L12" s="7">
        <v>-0.41332923000000005</v>
      </c>
      <c r="M12" s="7">
        <v>-5.0519225038540672E-2</v>
      </c>
      <c r="N12" s="7">
        <v>0</v>
      </c>
      <c r="O12" s="7">
        <v>0</v>
      </c>
      <c r="P12" s="7"/>
      <c r="Q12" s="7"/>
      <c r="R12" s="7"/>
      <c r="S12" s="7"/>
      <c r="T12" s="7"/>
      <c r="U12" s="7"/>
      <c r="V12" s="7"/>
      <c r="W12" s="7"/>
      <c r="X12" s="7"/>
    </row>
    <row r="13" spans="1:24">
      <c r="A13" s="6">
        <v>2028</v>
      </c>
      <c r="B13" s="7">
        <v>3950</v>
      </c>
      <c r="C13" s="7">
        <v>86.666666666666671</v>
      </c>
      <c r="D13" s="7">
        <v>0</v>
      </c>
      <c r="E13" s="9">
        <v>0</v>
      </c>
      <c r="F13" s="9">
        <v>3.5898990756865357</v>
      </c>
      <c r="G13" s="7">
        <v>2.0783065742016143E-2</v>
      </c>
      <c r="H13" s="7">
        <v>-910.88569454334913</v>
      </c>
      <c r="I13" s="7">
        <v>-0.61999384499999999</v>
      </c>
      <c r="J13" s="7">
        <v>-7.577883755781098E-2</v>
      </c>
      <c r="K13" s="7">
        <v>-910.88569454334913</v>
      </c>
      <c r="L13" s="7">
        <v>-0.61999384499999999</v>
      </c>
      <c r="M13" s="7">
        <v>-7.577883755781098E-2</v>
      </c>
      <c r="N13" s="7">
        <v>0</v>
      </c>
      <c r="O13" s="7">
        <v>0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>
      <c r="A14" s="6">
        <v>2029</v>
      </c>
      <c r="B14" s="7">
        <v>4900</v>
      </c>
      <c r="C14" s="7">
        <v>108.33333333333334</v>
      </c>
      <c r="D14" s="7">
        <v>0</v>
      </c>
      <c r="E14" s="9">
        <v>0</v>
      </c>
      <c r="F14" s="9">
        <v>4.2970181485064609</v>
      </c>
      <c r="G14" s="7">
        <v>1.2296722208005362E-2</v>
      </c>
      <c r="H14" s="7">
        <v>-1172.0046277485428</v>
      </c>
      <c r="I14" s="7">
        <v>-0.82665846000000009</v>
      </c>
      <c r="J14" s="7">
        <v>-0.10103845007708134</v>
      </c>
      <c r="K14" s="7">
        <v>-1172.0046277485428</v>
      </c>
      <c r="L14" s="7">
        <v>-0.82665846000000009</v>
      </c>
      <c r="M14" s="7">
        <v>-0.10103845007708134</v>
      </c>
      <c r="N14" s="7">
        <v>0</v>
      </c>
      <c r="O14" s="7">
        <v>0</v>
      </c>
      <c r="P14" s="7"/>
      <c r="Q14" s="7"/>
      <c r="R14" s="7"/>
      <c r="S14" s="7"/>
      <c r="T14" s="7"/>
      <c r="U14" s="7"/>
      <c r="V14" s="7"/>
      <c r="W14" s="7"/>
      <c r="X14" s="7"/>
    </row>
    <row r="15" spans="1:24">
      <c r="A15" s="6">
        <v>2030</v>
      </c>
      <c r="B15" s="7">
        <v>5700</v>
      </c>
      <c r="C15" s="7">
        <v>130</v>
      </c>
      <c r="D15" s="7">
        <v>0</v>
      </c>
      <c r="E15" s="9">
        <v>0</v>
      </c>
      <c r="F15" s="9">
        <v>5.0041340667122451</v>
      </c>
      <c r="G15" s="7">
        <v>3.810378673994739E-3</v>
      </c>
      <c r="H15" s="7">
        <v>-1433.1230060392736</v>
      </c>
      <c r="I15" s="7">
        <v>-1.033323075</v>
      </c>
      <c r="J15" s="7">
        <v>-0.12629806259635165</v>
      </c>
      <c r="K15" s="7">
        <v>-1433.1230060392736</v>
      </c>
      <c r="L15" s="7">
        <v>-1.033323075</v>
      </c>
      <c r="M15" s="7">
        <v>-0.12629806259635165</v>
      </c>
      <c r="N15" s="7">
        <v>0</v>
      </c>
      <c r="O15" s="7">
        <v>0</v>
      </c>
      <c r="P15" s="7"/>
      <c r="Q15" s="7"/>
      <c r="R15" s="7"/>
      <c r="S15" s="7"/>
      <c r="T15" s="7"/>
      <c r="U15" s="7"/>
      <c r="V15" s="7"/>
      <c r="W15" s="7"/>
      <c r="X15" s="7"/>
    </row>
    <row r="16" spans="1:24">
      <c r="A16" s="6">
        <v>2031</v>
      </c>
      <c r="B16" s="7">
        <v>5700</v>
      </c>
      <c r="C16" s="7">
        <v>130</v>
      </c>
      <c r="D16" s="7">
        <v>0</v>
      </c>
      <c r="E16" s="9">
        <v>0</v>
      </c>
      <c r="F16" s="9">
        <v>5.0041340667122451</v>
      </c>
      <c r="G16" s="7">
        <v>3.810378673994739E-3</v>
      </c>
      <c r="H16" s="7">
        <v>-1433.1230060392736</v>
      </c>
      <c r="I16" s="7">
        <v>-1.033323075</v>
      </c>
      <c r="J16" s="7">
        <v>-0.12629806259635165</v>
      </c>
      <c r="K16" s="7">
        <v>-1433.1230060392736</v>
      </c>
      <c r="L16" s="7">
        <v>-1.033323075</v>
      </c>
      <c r="M16" s="7">
        <v>-0.12629806259635165</v>
      </c>
      <c r="N16" s="7">
        <v>0</v>
      </c>
      <c r="O16" s="7">
        <v>0</v>
      </c>
      <c r="P16" s="7"/>
      <c r="Q16" s="7"/>
      <c r="R16" s="7"/>
      <c r="S16" s="7"/>
      <c r="T16" s="7"/>
      <c r="U16" s="7"/>
      <c r="V16" s="7"/>
      <c r="W16" s="7"/>
      <c r="X16" s="7"/>
    </row>
    <row r="17" spans="1:24">
      <c r="A17" s="6">
        <v>2032</v>
      </c>
      <c r="B17" s="7">
        <v>5700</v>
      </c>
      <c r="C17" s="7">
        <v>130</v>
      </c>
      <c r="D17" s="7">
        <v>0</v>
      </c>
      <c r="E17" s="9">
        <v>0</v>
      </c>
      <c r="F17" s="9">
        <v>5.0041340667122451</v>
      </c>
      <c r="G17" s="7">
        <v>3.810378673994739E-3</v>
      </c>
      <c r="H17" s="7">
        <v>-1433.1230060392736</v>
      </c>
      <c r="I17" s="7">
        <v>-1.033323075</v>
      </c>
      <c r="J17" s="7">
        <v>-0.12629806259635165</v>
      </c>
      <c r="K17" s="7">
        <v>-1433.1230060392736</v>
      </c>
      <c r="L17" s="7">
        <v>-1.033323075</v>
      </c>
      <c r="M17" s="7">
        <v>-0.12629806259635165</v>
      </c>
      <c r="N17" s="7">
        <v>0</v>
      </c>
      <c r="O17" s="7">
        <v>0</v>
      </c>
      <c r="P17" s="7"/>
      <c r="Q17" s="7"/>
      <c r="R17" s="7"/>
      <c r="S17" s="7"/>
      <c r="T17" s="7"/>
      <c r="U17" s="7"/>
      <c r="V17" s="7"/>
      <c r="W17" s="7"/>
      <c r="X17" s="7"/>
    </row>
    <row r="18" spans="1:24">
      <c r="A18" s="6">
        <v>2033</v>
      </c>
      <c r="B18" s="7">
        <v>5700</v>
      </c>
      <c r="C18" s="7">
        <v>130</v>
      </c>
      <c r="D18" s="7">
        <v>0</v>
      </c>
      <c r="E18" s="9">
        <v>0</v>
      </c>
      <c r="F18" s="9">
        <v>5.0041340667122451</v>
      </c>
      <c r="G18" s="7">
        <v>3.810378673994739E-3</v>
      </c>
      <c r="H18" s="7">
        <v>-1433.1230060392736</v>
      </c>
      <c r="I18" s="7">
        <v>-1.033323075</v>
      </c>
      <c r="J18" s="7">
        <v>-0.12629806259635165</v>
      </c>
      <c r="K18" s="7">
        <v>-1433.1230060392736</v>
      </c>
      <c r="L18" s="7">
        <v>-1.033323075</v>
      </c>
      <c r="M18" s="7">
        <v>-0.12629806259635165</v>
      </c>
      <c r="N18" s="7">
        <v>0</v>
      </c>
      <c r="O18" s="7">
        <v>0</v>
      </c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6">
        <v>2034</v>
      </c>
      <c r="B19" s="7">
        <v>5700</v>
      </c>
      <c r="C19" s="7">
        <v>130</v>
      </c>
      <c r="D19" s="7">
        <v>0</v>
      </c>
      <c r="E19" s="9">
        <v>0</v>
      </c>
      <c r="F19" s="9">
        <v>5.0041340667122451</v>
      </c>
      <c r="G19" s="7">
        <v>3.810378673994739E-3</v>
      </c>
      <c r="H19" s="7">
        <v>-1433.1230060392736</v>
      </c>
      <c r="I19" s="7">
        <v>-1.033323075</v>
      </c>
      <c r="J19" s="7">
        <v>-0.12629806259635165</v>
      </c>
      <c r="K19" s="7">
        <v>-1433.1230060392736</v>
      </c>
      <c r="L19" s="7">
        <v>-1.033323075</v>
      </c>
      <c r="M19" s="7">
        <v>-0.12629806259635165</v>
      </c>
      <c r="N19" s="7">
        <v>0</v>
      </c>
      <c r="O19" s="7">
        <v>0</v>
      </c>
      <c r="P19" s="7"/>
      <c r="Q19" s="7"/>
      <c r="R19" s="7"/>
      <c r="S19" s="7"/>
      <c r="T19" s="7"/>
      <c r="U19" s="7"/>
      <c r="V19" s="7"/>
      <c r="W19" s="7"/>
      <c r="X19" s="7"/>
    </row>
    <row r="20" spans="1:24">
      <c r="A20" s="6">
        <v>2035</v>
      </c>
      <c r="B20" s="7">
        <v>5700</v>
      </c>
      <c r="C20" s="7">
        <v>130</v>
      </c>
      <c r="D20" s="7">
        <v>0</v>
      </c>
      <c r="E20" s="9">
        <v>0</v>
      </c>
      <c r="F20" s="9">
        <v>5.0041340667122451</v>
      </c>
      <c r="G20" s="7">
        <v>3.810378673994739E-3</v>
      </c>
      <c r="H20" s="7">
        <v>-1433.1230060392736</v>
      </c>
      <c r="I20" s="7">
        <v>-1.033323075</v>
      </c>
      <c r="J20" s="7">
        <v>-0.12629806259635165</v>
      </c>
      <c r="K20" s="7">
        <v>-1433.1230060392736</v>
      </c>
      <c r="L20" s="7">
        <v>-1.033323075</v>
      </c>
      <c r="M20" s="7">
        <v>-0.12629806259635165</v>
      </c>
      <c r="N20" s="7">
        <v>0</v>
      </c>
      <c r="O20" s="7">
        <v>0</v>
      </c>
      <c r="P20" s="7"/>
      <c r="Q20" s="7"/>
      <c r="R20" s="7"/>
      <c r="S20" s="7"/>
      <c r="T20" s="7"/>
      <c r="U20" s="7"/>
      <c r="V20" s="7"/>
      <c r="W20" s="7"/>
      <c r="X20" s="7"/>
    </row>
    <row r="21" spans="1:24">
      <c r="A21" s="6">
        <v>2036</v>
      </c>
      <c r="B21" s="7">
        <v>5700</v>
      </c>
      <c r="C21" s="7">
        <v>130</v>
      </c>
      <c r="D21" s="7">
        <v>0</v>
      </c>
      <c r="E21" s="9">
        <v>0</v>
      </c>
      <c r="F21" s="9">
        <v>5.0041340667122451</v>
      </c>
      <c r="G21" s="7">
        <v>3.810378673994739E-3</v>
      </c>
      <c r="H21" s="7">
        <v>-1433.1230060392736</v>
      </c>
      <c r="I21" s="7">
        <v>-1.033323075</v>
      </c>
      <c r="J21" s="7">
        <v>-0.12629806259635165</v>
      </c>
      <c r="K21" s="7">
        <v>-1433.1230060392736</v>
      </c>
      <c r="L21" s="7">
        <v>-1.033323075</v>
      </c>
      <c r="M21" s="7">
        <v>-0.12629806259635165</v>
      </c>
      <c r="N21" s="7">
        <v>0</v>
      </c>
      <c r="O21" s="7">
        <v>0</v>
      </c>
      <c r="P21" s="7"/>
      <c r="Q21" s="7"/>
      <c r="R21" s="7"/>
      <c r="S21" s="7"/>
      <c r="T21" s="7"/>
      <c r="U21" s="7"/>
      <c r="V21" s="7"/>
      <c r="W21" s="7"/>
      <c r="X21" s="7"/>
    </row>
    <row r="22" spans="1:24">
      <c r="A22" s="6">
        <v>2037</v>
      </c>
      <c r="B22" s="7">
        <v>5700</v>
      </c>
      <c r="C22" s="7">
        <v>130</v>
      </c>
      <c r="D22" s="7">
        <v>0</v>
      </c>
      <c r="E22" s="9">
        <v>0</v>
      </c>
      <c r="F22" s="9">
        <v>5.0041340667122451</v>
      </c>
      <c r="G22" s="7">
        <v>3.810378673994739E-3</v>
      </c>
      <c r="H22" s="7">
        <v>-1433.1230060392736</v>
      </c>
      <c r="I22" s="7">
        <v>-1.033323075</v>
      </c>
      <c r="J22" s="7">
        <v>-0.12629806259635165</v>
      </c>
      <c r="K22" s="7">
        <v>-1433.1230060392736</v>
      </c>
      <c r="L22" s="7">
        <v>-1.033323075</v>
      </c>
      <c r="M22" s="7">
        <v>-0.12629806259635165</v>
      </c>
      <c r="N22" s="7">
        <v>0</v>
      </c>
      <c r="O22" s="7">
        <v>0</v>
      </c>
      <c r="P22" s="7"/>
      <c r="Q22" s="7"/>
      <c r="R22" s="7"/>
      <c r="S22" s="7"/>
      <c r="T22" s="7"/>
      <c r="U22" s="7"/>
      <c r="V22" s="7"/>
      <c r="W22" s="7"/>
      <c r="X22" s="7"/>
    </row>
    <row r="23" spans="1:24">
      <c r="A23" s="6">
        <v>2038</v>
      </c>
      <c r="B23" s="7">
        <v>5700</v>
      </c>
      <c r="C23" s="7">
        <v>130</v>
      </c>
      <c r="D23" s="7">
        <v>0</v>
      </c>
      <c r="E23" s="9">
        <v>0</v>
      </c>
      <c r="F23" s="9">
        <v>5.0041340667122451</v>
      </c>
      <c r="G23" s="7">
        <v>3.810378673994739E-3</v>
      </c>
      <c r="H23" s="7">
        <v>-1433.1230060392736</v>
      </c>
      <c r="I23" s="7">
        <v>-1.033323075</v>
      </c>
      <c r="J23" s="7">
        <v>-0.12629806259635165</v>
      </c>
      <c r="K23" s="7">
        <v>-1433.1230060392736</v>
      </c>
      <c r="L23" s="7">
        <v>-1.033323075</v>
      </c>
      <c r="M23" s="7">
        <v>-0.12629806259635165</v>
      </c>
      <c r="N23" s="7">
        <v>0</v>
      </c>
      <c r="O23" s="7">
        <v>0</v>
      </c>
      <c r="P23" s="7"/>
      <c r="Q23" s="7"/>
      <c r="R23" s="7"/>
      <c r="S23" s="7"/>
      <c r="T23" s="7"/>
      <c r="U23" s="7"/>
      <c r="V23" s="7"/>
      <c r="W23" s="7"/>
      <c r="X23" s="7"/>
    </row>
    <row r="24" spans="1:24">
      <c r="A24" s="6">
        <v>2039</v>
      </c>
      <c r="B24" s="7">
        <v>5700</v>
      </c>
      <c r="C24" s="7">
        <v>130</v>
      </c>
      <c r="D24" s="7">
        <v>0</v>
      </c>
      <c r="E24" s="9">
        <v>0</v>
      </c>
      <c r="F24" s="9">
        <v>5.0041340667122451</v>
      </c>
      <c r="G24" s="7">
        <v>3.810378673994739E-3</v>
      </c>
      <c r="H24" s="7">
        <v>-1433.1230060392736</v>
      </c>
      <c r="I24" s="7">
        <v>-1.033323075</v>
      </c>
      <c r="J24" s="7">
        <v>-0.12629806259635165</v>
      </c>
      <c r="K24" s="7">
        <v>-1433.1230060392736</v>
      </c>
      <c r="L24" s="7">
        <v>-1.033323075</v>
      </c>
      <c r="M24" s="7">
        <v>-0.12629806259635165</v>
      </c>
      <c r="N24" s="7">
        <v>0</v>
      </c>
      <c r="O24" s="7">
        <v>0</v>
      </c>
      <c r="P24" s="7"/>
      <c r="Q24" s="7"/>
      <c r="R24" s="7"/>
      <c r="S24" s="7"/>
      <c r="T24" s="7"/>
      <c r="U24" s="7"/>
      <c r="V24" s="7"/>
      <c r="W24" s="7"/>
      <c r="X24" s="7"/>
    </row>
    <row r="25" spans="1:24">
      <c r="A25" s="6">
        <v>2040</v>
      </c>
      <c r="B25" s="7">
        <v>5700</v>
      </c>
      <c r="C25" s="7">
        <v>130</v>
      </c>
      <c r="D25" s="7">
        <v>0</v>
      </c>
      <c r="E25" s="9">
        <v>0</v>
      </c>
      <c r="F25" s="9">
        <v>5.0041340667122451</v>
      </c>
      <c r="G25" s="7">
        <v>3.810378673994739E-3</v>
      </c>
      <c r="H25" s="7">
        <v>-569.25259497180195</v>
      </c>
      <c r="I25" s="7">
        <v>-1.033323075</v>
      </c>
      <c r="J25" s="7">
        <v>-0.12629806259635165</v>
      </c>
      <c r="K25" s="7">
        <v>-694.21048167292929</v>
      </c>
      <c r="L25" s="7">
        <v>-1.033323075</v>
      </c>
      <c r="M25" s="7">
        <v>-0.12629806259635165</v>
      </c>
      <c r="N25" s="7">
        <v>-156.17707523251673</v>
      </c>
      <c r="O25" s="7">
        <v>0</v>
      </c>
      <c r="P25" s="7"/>
      <c r="Q25" s="7"/>
      <c r="R25" s="7"/>
      <c r="S25" s="7"/>
      <c r="T25" s="7"/>
      <c r="U25" s="7"/>
      <c r="V25" s="7"/>
      <c r="W25" s="7"/>
      <c r="X25" s="7"/>
    </row>
    <row r="26" spans="1:24">
      <c r="A26" s="6">
        <v>2041</v>
      </c>
      <c r="B26" s="7">
        <v>5700</v>
      </c>
      <c r="C26" s="7">
        <v>130</v>
      </c>
      <c r="D26" s="7">
        <v>0</v>
      </c>
      <c r="E26" s="9">
        <v>0</v>
      </c>
      <c r="F26" s="9">
        <v>5.0041340667122451</v>
      </c>
      <c r="G26" s="7">
        <v>3.810378673994739E-3</v>
      </c>
      <c r="H26" s="7">
        <v>-547.79971009716007</v>
      </c>
      <c r="I26" s="7">
        <v>-1.033323075</v>
      </c>
      <c r="J26" s="7">
        <v>-0.12629806259635165</v>
      </c>
      <c r="K26" s="7">
        <v>-694.21048167292929</v>
      </c>
      <c r="L26" s="7">
        <v>-1.033323075</v>
      </c>
      <c r="M26" s="7">
        <v>-0.12629806259635165</v>
      </c>
      <c r="N26" s="7">
        <v>-182.13880927054373</v>
      </c>
      <c r="O26" s="7">
        <v>0</v>
      </c>
      <c r="P26" s="7"/>
      <c r="Q26" s="7"/>
      <c r="R26" s="7"/>
      <c r="S26" s="7"/>
      <c r="T26" s="7"/>
      <c r="U26" s="7"/>
      <c r="V26" s="7"/>
      <c r="W26" s="7"/>
      <c r="X26" s="7"/>
    </row>
    <row r="27" spans="1:24">
      <c r="A27" s="6">
        <v>2042</v>
      </c>
      <c r="B27" s="7">
        <v>5700</v>
      </c>
      <c r="C27" s="7">
        <v>130</v>
      </c>
      <c r="D27" s="7">
        <v>0</v>
      </c>
      <c r="E27" s="9">
        <v>0</v>
      </c>
      <c r="F27" s="9">
        <v>5.0041340667122451</v>
      </c>
      <c r="G27" s="7">
        <v>3.810378673994739E-3</v>
      </c>
      <c r="H27" s="7">
        <v>-526.34682522251831</v>
      </c>
      <c r="I27" s="7">
        <v>-1.033323075</v>
      </c>
      <c r="J27" s="7">
        <v>-0.12629806259635165</v>
      </c>
      <c r="K27" s="7">
        <v>-694.21048167292929</v>
      </c>
      <c r="L27" s="7">
        <v>-1.033323075</v>
      </c>
      <c r="M27" s="7">
        <v>-0.12629806259635165</v>
      </c>
      <c r="N27" s="7">
        <v>-208.08117802264908</v>
      </c>
      <c r="O27" s="7">
        <v>0</v>
      </c>
      <c r="P27" s="7"/>
      <c r="Q27" s="7"/>
      <c r="R27" s="7"/>
      <c r="S27" s="7"/>
      <c r="T27" s="7"/>
      <c r="U27" s="7"/>
      <c r="V27" s="7"/>
      <c r="W27" s="7"/>
      <c r="X27" s="7"/>
    </row>
    <row r="28" spans="1:24">
      <c r="A28" s="6">
        <v>2043</v>
      </c>
      <c r="B28" s="7">
        <v>5700</v>
      </c>
      <c r="C28" s="7">
        <v>130</v>
      </c>
      <c r="D28" s="7">
        <v>0</v>
      </c>
      <c r="E28" s="9">
        <v>0</v>
      </c>
      <c r="F28" s="9">
        <v>5.0041340667122451</v>
      </c>
      <c r="G28" s="7">
        <v>3.810378673994739E-3</v>
      </c>
      <c r="H28" s="7">
        <v>-504.89394034787659</v>
      </c>
      <c r="I28" s="7">
        <v>-1.033323075</v>
      </c>
      <c r="J28" s="7">
        <v>-0.12629806259635165</v>
      </c>
      <c r="K28" s="7">
        <v>-694.21048167292929</v>
      </c>
      <c r="L28" s="7">
        <v>-1.033323075</v>
      </c>
      <c r="M28" s="7">
        <v>-0.12629806259635165</v>
      </c>
      <c r="N28" s="7">
        <v>-234.00418148883284</v>
      </c>
      <c r="O28" s="7">
        <v>0</v>
      </c>
      <c r="P28" s="7"/>
      <c r="Q28" s="7"/>
      <c r="R28" s="7"/>
      <c r="S28" s="7"/>
      <c r="T28" s="7"/>
      <c r="U28" s="7"/>
      <c r="V28" s="7"/>
      <c r="W28" s="7"/>
      <c r="X28" s="7"/>
    </row>
    <row r="29" spans="1:24">
      <c r="A29" s="6">
        <v>2044</v>
      </c>
      <c r="B29" s="7">
        <v>5700</v>
      </c>
      <c r="C29" s="7">
        <v>130</v>
      </c>
      <c r="D29" s="7">
        <v>0</v>
      </c>
      <c r="E29" s="9">
        <v>0</v>
      </c>
      <c r="F29" s="9">
        <v>5.0041340667122451</v>
      </c>
      <c r="G29" s="7">
        <v>3.810378673994739E-3</v>
      </c>
      <c r="H29" s="7">
        <v>-483.44105547323483</v>
      </c>
      <c r="I29" s="7">
        <v>-1.033323075</v>
      </c>
      <c r="J29" s="7">
        <v>-0.12629806259635165</v>
      </c>
      <c r="K29" s="7">
        <v>-694.21048167292929</v>
      </c>
      <c r="L29" s="7">
        <v>-1.033323075</v>
      </c>
      <c r="M29" s="7">
        <v>-0.12629806259635165</v>
      </c>
      <c r="N29" s="7">
        <v>-259.90781966909498</v>
      </c>
      <c r="O29" s="7">
        <v>0</v>
      </c>
      <c r="P29" s="7"/>
      <c r="Q29" s="7"/>
      <c r="R29" s="7"/>
      <c r="S29" s="7"/>
      <c r="T29" s="7"/>
      <c r="U29" s="7"/>
      <c r="V29" s="7"/>
      <c r="W29" s="7"/>
      <c r="X29" s="7"/>
    </row>
    <row r="30" spans="1:24">
      <c r="A30" s="6">
        <v>2045</v>
      </c>
      <c r="B30" s="7">
        <v>5700</v>
      </c>
      <c r="C30" s="7">
        <v>130</v>
      </c>
      <c r="D30" s="7">
        <v>0</v>
      </c>
      <c r="E30" s="9">
        <v>0</v>
      </c>
      <c r="F30" s="9">
        <v>5.0041340667122451</v>
      </c>
      <c r="G30" s="7">
        <v>3.810378673994739E-3</v>
      </c>
      <c r="H30" s="7">
        <v>-461.98817059859311</v>
      </c>
      <c r="I30" s="7">
        <v>-1.033323075</v>
      </c>
      <c r="J30" s="7">
        <v>-0.12629806259635165</v>
      </c>
      <c r="K30" s="7">
        <v>-694.21048167292929</v>
      </c>
      <c r="L30" s="7">
        <v>-1.033323075</v>
      </c>
      <c r="M30" s="7">
        <v>-0.12629806259635165</v>
      </c>
      <c r="N30" s="7">
        <v>-285.7920925634354</v>
      </c>
      <c r="O30" s="7">
        <v>0</v>
      </c>
      <c r="P30" s="7"/>
      <c r="Q30" s="7"/>
      <c r="R30" s="7"/>
      <c r="S30" s="7"/>
      <c r="T30" s="7"/>
      <c r="U30" s="7"/>
      <c r="V30" s="7"/>
      <c r="W30" s="7"/>
      <c r="X30" s="7"/>
    </row>
    <row r="31" spans="1:24">
      <c r="A31" s="6">
        <v>2046</v>
      </c>
      <c r="B31" s="7">
        <v>5700</v>
      </c>
      <c r="C31" s="7">
        <v>130</v>
      </c>
      <c r="D31" s="7">
        <v>0</v>
      </c>
      <c r="E31" s="9">
        <v>0</v>
      </c>
      <c r="F31" s="9">
        <v>5.0041340667122451</v>
      </c>
      <c r="G31" s="7">
        <v>3.810378673994739E-3</v>
      </c>
      <c r="H31" s="7">
        <v>-440.53528572395146</v>
      </c>
      <c r="I31" s="7">
        <v>-1.033323075</v>
      </c>
      <c r="J31" s="7">
        <v>-0.12629806259635165</v>
      </c>
      <c r="K31" s="7">
        <v>-694.21048167292929</v>
      </c>
      <c r="L31" s="7">
        <v>-1.033323075</v>
      </c>
      <c r="M31" s="7">
        <v>-0.12629806259635165</v>
      </c>
      <c r="N31" s="7">
        <v>-311.65700017185418</v>
      </c>
      <c r="O31" s="7">
        <v>0</v>
      </c>
      <c r="P31" s="7"/>
      <c r="Q31" s="7"/>
      <c r="R31" s="7"/>
      <c r="S31" s="7"/>
      <c r="T31" s="7"/>
      <c r="U31" s="7"/>
      <c r="V31" s="7"/>
      <c r="W31" s="7"/>
      <c r="X31" s="7"/>
    </row>
    <row r="32" spans="1:24">
      <c r="A32" s="6">
        <v>2047</v>
      </c>
      <c r="B32" s="7">
        <v>5700</v>
      </c>
      <c r="C32" s="7">
        <v>130</v>
      </c>
      <c r="D32" s="7">
        <v>0</v>
      </c>
      <c r="E32" s="9">
        <v>0</v>
      </c>
      <c r="F32" s="9">
        <v>5.0041340667122451</v>
      </c>
      <c r="G32" s="7">
        <v>3.810378673994739E-3</v>
      </c>
      <c r="H32" s="7">
        <v>-419.08240084930975</v>
      </c>
      <c r="I32" s="7">
        <v>-1.033323075</v>
      </c>
      <c r="J32" s="7">
        <v>-0.12629806259635165</v>
      </c>
      <c r="K32" s="7">
        <v>-694.21048167292929</v>
      </c>
      <c r="L32" s="7">
        <v>-1.033323075</v>
      </c>
      <c r="M32" s="7">
        <v>-0.12629806259635165</v>
      </c>
      <c r="N32" s="7">
        <v>-337.50254249435147</v>
      </c>
      <c r="O32" s="7">
        <v>0</v>
      </c>
      <c r="P32" s="7"/>
      <c r="Q32" s="7"/>
      <c r="R32" s="7"/>
      <c r="S32" s="7"/>
      <c r="T32" s="7"/>
      <c r="U32" s="7"/>
      <c r="V32" s="7"/>
      <c r="W32" s="7"/>
      <c r="X32" s="7"/>
    </row>
    <row r="33" spans="1:24">
      <c r="A33" s="6">
        <v>2048</v>
      </c>
      <c r="B33" s="7">
        <v>5700</v>
      </c>
      <c r="C33" s="7">
        <v>130</v>
      </c>
      <c r="D33" s="7">
        <v>0</v>
      </c>
      <c r="E33" s="9">
        <v>0</v>
      </c>
      <c r="F33" s="9">
        <v>5.0041340667122451</v>
      </c>
      <c r="G33" s="7">
        <v>3.810378673994739E-3</v>
      </c>
      <c r="H33" s="7">
        <v>-397.6295159746681</v>
      </c>
      <c r="I33" s="7">
        <v>-1.033323075</v>
      </c>
      <c r="J33" s="7">
        <v>-0.12629806259635165</v>
      </c>
      <c r="K33" s="7">
        <v>-694.21048167292929</v>
      </c>
      <c r="L33" s="7">
        <v>-1.033323075</v>
      </c>
      <c r="M33" s="7">
        <v>-0.12629806259635165</v>
      </c>
      <c r="N33" s="7">
        <v>-363.32871953092695</v>
      </c>
      <c r="O33" s="7">
        <v>0</v>
      </c>
      <c r="P33" s="7"/>
      <c r="Q33" s="7"/>
      <c r="R33" s="7"/>
      <c r="S33" s="7"/>
      <c r="T33" s="7"/>
      <c r="U33" s="7"/>
      <c r="V33" s="7"/>
      <c r="W33" s="7"/>
      <c r="X33" s="7"/>
    </row>
    <row r="34" spans="1:24">
      <c r="A34" s="6">
        <v>2049</v>
      </c>
      <c r="B34" s="7">
        <v>5700</v>
      </c>
      <c r="C34" s="7">
        <v>130</v>
      </c>
      <c r="D34" s="7">
        <v>0</v>
      </c>
      <c r="E34" s="9">
        <v>0</v>
      </c>
      <c r="F34" s="9">
        <v>5.0041340667122496</v>
      </c>
      <c r="G34" s="7">
        <v>3.8103786739947399E-3</v>
      </c>
      <c r="H34" s="7">
        <v>-376.17663110002638</v>
      </c>
      <c r="I34" s="7">
        <v>-1.033323075</v>
      </c>
      <c r="J34" s="7">
        <v>-0.12629806259635165</v>
      </c>
      <c r="K34" s="7">
        <v>-694.21048167292929</v>
      </c>
      <c r="L34" s="7">
        <v>-1.033323075</v>
      </c>
      <c r="M34" s="7">
        <v>-0.12629806259635165</v>
      </c>
      <c r="N34" s="7">
        <v>-389.13553128158088</v>
      </c>
      <c r="O34" s="7">
        <v>0</v>
      </c>
      <c r="P34" s="7"/>
      <c r="Q34" s="7"/>
      <c r="R34" s="7"/>
      <c r="S34" s="7"/>
      <c r="T34" s="7"/>
      <c r="U34" s="7"/>
      <c r="V34" s="7"/>
      <c r="W34" s="7"/>
      <c r="X34" s="7"/>
    </row>
    <row r="35" spans="1:24">
      <c r="A35" s="6">
        <v>2050</v>
      </c>
      <c r="B35" s="7">
        <v>5700</v>
      </c>
      <c r="C35" s="7">
        <v>130</v>
      </c>
      <c r="D35" s="7">
        <v>0</v>
      </c>
      <c r="E35" s="9">
        <v>0</v>
      </c>
      <c r="F35" s="9">
        <v>5.0041340667122451</v>
      </c>
      <c r="G35" s="7">
        <v>3.810378673994739E-3</v>
      </c>
      <c r="H35" s="7">
        <v>-354.72374622538467</v>
      </c>
      <c r="I35" s="7">
        <v>-1.033323075</v>
      </c>
      <c r="J35" s="7">
        <v>-0.12629806259635165</v>
      </c>
      <c r="K35" s="7">
        <v>-694.21048167292929</v>
      </c>
      <c r="L35" s="7">
        <v>-1.033323075</v>
      </c>
      <c r="M35" s="7">
        <v>-0.12629806259635165</v>
      </c>
      <c r="N35" s="7">
        <v>-414.92297774631305</v>
      </c>
      <c r="O35" s="7">
        <v>0</v>
      </c>
      <c r="P35" s="7"/>
      <c r="Q35" s="7"/>
      <c r="R35" s="7"/>
      <c r="S35" s="7"/>
      <c r="T35" s="7"/>
      <c r="U35" s="7"/>
      <c r="V35" s="7"/>
      <c r="W35" s="7"/>
      <c r="X35" s="7"/>
    </row>
    <row r="36" spans="1:24">
      <c r="A36" s="6">
        <v>2051</v>
      </c>
      <c r="B36" s="7">
        <v>5700</v>
      </c>
      <c r="C36" s="7">
        <v>130</v>
      </c>
      <c r="D36" s="7">
        <v>0</v>
      </c>
      <c r="E36" s="9">
        <v>0</v>
      </c>
      <c r="F36" s="9">
        <v>5.0041340667122451</v>
      </c>
      <c r="G36" s="7">
        <v>3.810378673994739E-3</v>
      </c>
      <c r="H36" s="7">
        <v>-333.27086135074296</v>
      </c>
      <c r="I36" s="7">
        <v>-1.033323075</v>
      </c>
      <c r="J36" s="7">
        <v>-0.12629806259635165</v>
      </c>
      <c r="K36" s="7">
        <v>-694.21048167292929</v>
      </c>
      <c r="L36" s="7">
        <v>-1.033323075</v>
      </c>
      <c r="M36" s="7">
        <v>-0.12629806259635165</v>
      </c>
      <c r="N36" s="7">
        <v>-440.69105892512374</v>
      </c>
      <c r="O36" s="7">
        <v>0</v>
      </c>
      <c r="P36" s="7"/>
      <c r="Q36" s="7"/>
      <c r="R36" s="7"/>
      <c r="S36" s="7"/>
      <c r="T36" s="7"/>
      <c r="U36" s="7"/>
      <c r="V36" s="7"/>
      <c r="W36" s="7"/>
      <c r="X36" s="7"/>
    </row>
    <row r="37" spans="1:24">
      <c r="A37" s="6">
        <v>2052</v>
      </c>
      <c r="B37" s="7">
        <v>5700</v>
      </c>
      <c r="C37" s="7">
        <v>130</v>
      </c>
      <c r="D37" s="7">
        <v>0</v>
      </c>
      <c r="E37" s="9">
        <v>0</v>
      </c>
      <c r="F37" s="9">
        <v>5.0041340667122451</v>
      </c>
      <c r="G37" s="7">
        <v>3.810378673994739E-3</v>
      </c>
      <c r="H37" s="7">
        <v>-311.81797647610114</v>
      </c>
      <c r="I37" s="7">
        <v>-1.033323075</v>
      </c>
      <c r="J37" s="7">
        <v>-0.12629806259635165</v>
      </c>
      <c r="K37" s="7">
        <v>-694.21048167292929</v>
      </c>
      <c r="L37" s="7">
        <v>-1.033323075</v>
      </c>
      <c r="M37" s="7">
        <v>-0.12629806259635165</v>
      </c>
      <c r="N37" s="7">
        <v>-466.43977481801267</v>
      </c>
      <c r="O37" s="7">
        <v>0</v>
      </c>
      <c r="P37" s="7"/>
      <c r="Q37" s="7"/>
      <c r="R37" s="7"/>
      <c r="S37" s="7"/>
      <c r="T37" s="7"/>
      <c r="U37" s="7"/>
      <c r="V37" s="7"/>
      <c r="W37" s="7"/>
      <c r="X37" s="7"/>
    </row>
    <row r="38" spans="1:24">
      <c r="A38" s="6">
        <v>2053</v>
      </c>
      <c r="B38" s="7">
        <v>5700</v>
      </c>
      <c r="C38" s="7">
        <v>130</v>
      </c>
      <c r="D38" s="7">
        <v>0</v>
      </c>
      <c r="E38" s="9">
        <v>0</v>
      </c>
      <c r="F38" s="9">
        <v>5.0041340667122451</v>
      </c>
      <c r="G38" s="7">
        <v>3.810378673994739E-3</v>
      </c>
      <c r="H38" s="7">
        <v>-290.36509160145948</v>
      </c>
      <c r="I38" s="7">
        <v>-1.033323075</v>
      </c>
      <c r="J38" s="7">
        <v>-0.12629806259635165</v>
      </c>
      <c r="K38" s="7">
        <v>-694.21048167292929</v>
      </c>
      <c r="L38" s="7">
        <v>-1.033323075</v>
      </c>
      <c r="M38" s="7">
        <v>-0.12629806259635165</v>
      </c>
      <c r="N38" s="7">
        <v>-492.16912542497994</v>
      </c>
      <c r="O38" s="7">
        <v>0</v>
      </c>
      <c r="P38" s="7"/>
      <c r="Q38" s="7"/>
      <c r="R38" s="7"/>
      <c r="S38" s="7"/>
      <c r="T38" s="7"/>
      <c r="U38" s="7"/>
      <c r="V38" s="7"/>
      <c r="W38" s="7"/>
      <c r="X38" s="7"/>
    </row>
    <row r="39" spans="1:24">
      <c r="A39" s="6">
        <v>2054</v>
      </c>
      <c r="B39" s="7">
        <v>5700</v>
      </c>
      <c r="C39" s="7">
        <v>130</v>
      </c>
      <c r="D39" s="7">
        <v>0</v>
      </c>
      <c r="E39" s="9">
        <v>0</v>
      </c>
      <c r="F39" s="9">
        <v>5.0041340667122451</v>
      </c>
      <c r="G39" s="7">
        <v>3.810378673994739E-3</v>
      </c>
      <c r="H39" s="7">
        <v>-268.91220672681777</v>
      </c>
      <c r="I39" s="7">
        <v>-1.033323075</v>
      </c>
      <c r="J39" s="7">
        <v>-0.12629806259635165</v>
      </c>
      <c r="K39" s="7">
        <v>-694.21048167292929</v>
      </c>
      <c r="L39" s="7">
        <v>-1.033323075</v>
      </c>
      <c r="M39" s="7">
        <v>-0.12629806259635165</v>
      </c>
      <c r="N39" s="7">
        <v>-517.87911074602562</v>
      </c>
      <c r="O39" s="7">
        <v>0</v>
      </c>
      <c r="P39" s="7"/>
      <c r="Q39" s="7"/>
      <c r="R39" s="7"/>
      <c r="S39" s="7"/>
      <c r="T39" s="7"/>
      <c r="U39" s="7"/>
      <c r="V39" s="7"/>
      <c r="W39" s="7"/>
      <c r="X39" s="7"/>
    </row>
    <row r="40" spans="1:24">
      <c r="A40" s="6">
        <v>2055</v>
      </c>
      <c r="B40" s="7">
        <v>5700</v>
      </c>
      <c r="C40" s="7">
        <v>130</v>
      </c>
      <c r="D40" s="7">
        <v>0</v>
      </c>
      <c r="E40" s="9">
        <v>0</v>
      </c>
      <c r="F40" s="9">
        <v>5.0041340667122451</v>
      </c>
      <c r="G40" s="7">
        <v>3.810378673994739E-3</v>
      </c>
      <c r="H40" s="7">
        <v>-247.45932185217609</v>
      </c>
      <c r="I40" s="7">
        <v>-1.033323075</v>
      </c>
      <c r="J40" s="7">
        <v>-0.12629806259635165</v>
      </c>
      <c r="K40" s="7">
        <v>-694.21048167292929</v>
      </c>
      <c r="L40" s="7">
        <v>-1.033323075</v>
      </c>
      <c r="M40" s="7">
        <v>-0.12629806259635165</v>
      </c>
      <c r="N40" s="7">
        <v>-543.56973078114981</v>
      </c>
      <c r="O40" s="7">
        <v>0</v>
      </c>
      <c r="P40" s="7"/>
      <c r="Q40" s="7"/>
      <c r="R40" s="7"/>
      <c r="S40" s="7"/>
      <c r="T40" s="7"/>
      <c r="U40" s="7"/>
      <c r="V40" s="7"/>
      <c r="W40" s="7"/>
      <c r="X40" s="7"/>
    </row>
    <row r="41" spans="1:24">
      <c r="A41" s="6">
        <v>2056</v>
      </c>
      <c r="B41" s="7">
        <v>5700</v>
      </c>
      <c r="C41" s="7">
        <v>130</v>
      </c>
      <c r="D41" s="7">
        <v>0</v>
      </c>
      <c r="E41" s="9">
        <v>0</v>
      </c>
      <c r="F41" s="9">
        <v>5.0041340667122451</v>
      </c>
      <c r="G41" s="7">
        <v>3.810378673994739E-3</v>
      </c>
      <c r="H41" s="7">
        <v>-226.00643697753438</v>
      </c>
      <c r="I41" s="7">
        <v>-1.033323075</v>
      </c>
      <c r="J41" s="7">
        <v>-0.12629806259635165</v>
      </c>
      <c r="K41" s="7">
        <v>-694.21048167292929</v>
      </c>
      <c r="L41" s="7">
        <v>-1.033323075</v>
      </c>
      <c r="M41" s="7">
        <v>-0.12629806259635165</v>
      </c>
      <c r="N41" s="7">
        <v>-569.24098553035219</v>
      </c>
      <c r="O41" s="7">
        <v>0</v>
      </c>
      <c r="P41" s="7"/>
      <c r="Q41" s="7"/>
      <c r="R41" s="7"/>
      <c r="S41" s="7"/>
      <c r="T41" s="7"/>
      <c r="U41" s="7"/>
      <c r="V41" s="7"/>
      <c r="W41" s="7"/>
      <c r="X41" s="7"/>
    </row>
    <row r="42" spans="1:24">
      <c r="A42" s="6">
        <v>2057</v>
      </c>
      <c r="B42" s="7">
        <v>5700</v>
      </c>
      <c r="C42" s="7">
        <v>130</v>
      </c>
      <c r="D42" s="7">
        <v>0</v>
      </c>
      <c r="E42" s="9">
        <v>0</v>
      </c>
      <c r="F42" s="9">
        <v>5.0041340667122451</v>
      </c>
      <c r="G42" s="7">
        <v>3.810378673994739E-3</v>
      </c>
      <c r="H42" s="7">
        <v>-204.55355210289272</v>
      </c>
      <c r="I42" s="7">
        <v>-1.033323075</v>
      </c>
      <c r="J42" s="7">
        <v>-0.12629806259635165</v>
      </c>
      <c r="K42" s="7">
        <v>-694.21048167292929</v>
      </c>
      <c r="L42" s="7">
        <v>-1.033323075</v>
      </c>
      <c r="M42" s="7">
        <v>-0.12629806259635165</v>
      </c>
      <c r="N42" s="7">
        <v>-594.89287499363286</v>
      </c>
      <c r="O42" s="7">
        <v>0</v>
      </c>
      <c r="P42" s="7"/>
      <c r="Q42" s="7"/>
      <c r="R42" s="7"/>
      <c r="S42" s="7"/>
      <c r="T42" s="7"/>
      <c r="U42" s="7"/>
      <c r="V42" s="7"/>
      <c r="W42" s="7"/>
      <c r="X42" s="7"/>
    </row>
    <row r="43" spans="1:24">
      <c r="A43" s="6">
        <v>2058</v>
      </c>
      <c r="B43" s="7">
        <v>5700</v>
      </c>
      <c r="C43" s="7">
        <v>130</v>
      </c>
      <c r="D43" s="7">
        <v>0</v>
      </c>
      <c r="E43" s="9">
        <v>0</v>
      </c>
      <c r="F43" s="9">
        <v>5.0041340667122451</v>
      </c>
      <c r="G43" s="7">
        <v>3.810378673994739E-3</v>
      </c>
      <c r="H43" s="7">
        <v>-183.10066722825098</v>
      </c>
      <c r="I43" s="7">
        <v>-1.033323075</v>
      </c>
      <c r="J43" s="7">
        <v>-0.12629806259635165</v>
      </c>
      <c r="K43" s="7">
        <v>-694.21048167292929</v>
      </c>
      <c r="L43" s="7">
        <v>-1.033323075</v>
      </c>
      <c r="M43" s="7">
        <v>-0.12629806259635165</v>
      </c>
      <c r="N43" s="7">
        <v>-620.52539917099216</v>
      </c>
      <c r="O43" s="7">
        <v>0</v>
      </c>
      <c r="P43" s="7"/>
      <c r="Q43" s="7"/>
      <c r="R43" s="7"/>
      <c r="S43" s="7"/>
      <c r="T43" s="7"/>
      <c r="U43" s="7"/>
      <c r="V43" s="7"/>
      <c r="W43" s="7"/>
      <c r="X43" s="7"/>
    </row>
    <row r="44" spans="1:24">
      <c r="A44" s="6">
        <v>2059</v>
      </c>
      <c r="B44" s="7">
        <v>5700</v>
      </c>
      <c r="C44" s="7">
        <v>130</v>
      </c>
      <c r="D44" s="7">
        <v>0</v>
      </c>
      <c r="E44" s="9">
        <v>0</v>
      </c>
      <c r="F44" s="9">
        <v>5.0041340667122451</v>
      </c>
      <c r="G44" s="7">
        <v>3.810378673994739E-3</v>
      </c>
      <c r="H44" s="7">
        <v>-161.64778235360927</v>
      </c>
      <c r="I44" s="7">
        <v>-1.033323075</v>
      </c>
      <c r="J44" s="7">
        <v>-0.12629806259635165</v>
      </c>
      <c r="K44" s="7">
        <v>-694.21048167292929</v>
      </c>
      <c r="L44" s="7">
        <v>-1.033323075</v>
      </c>
      <c r="M44" s="7">
        <v>-0.12629806259635165</v>
      </c>
      <c r="N44" s="7">
        <v>-646.13855806242952</v>
      </c>
      <c r="O44" s="7">
        <v>0</v>
      </c>
      <c r="P44" s="7"/>
      <c r="Q44" s="7"/>
      <c r="R44" s="7"/>
      <c r="S44" s="7"/>
      <c r="T44" s="7"/>
      <c r="U44" s="7"/>
      <c r="V44" s="7"/>
      <c r="W44" s="7"/>
      <c r="X44" s="7"/>
    </row>
    <row r="45" spans="1:24">
      <c r="A45" s="6">
        <v>2060</v>
      </c>
      <c r="B45" s="7">
        <v>5700</v>
      </c>
      <c r="C45" s="7">
        <v>130</v>
      </c>
      <c r="D45" s="7">
        <v>0</v>
      </c>
      <c r="E45" s="9">
        <v>0</v>
      </c>
      <c r="F45" s="9">
        <v>5.0041340667122451</v>
      </c>
      <c r="G45" s="7">
        <v>3.810378673994739E-3</v>
      </c>
      <c r="H45" s="7">
        <v>-140.19489747896753</v>
      </c>
      <c r="I45" s="7">
        <v>-1.033323075</v>
      </c>
      <c r="J45" s="7">
        <v>-0.12629806259635165</v>
      </c>
      <c r="K45" s="7">
        <v>-694.21048167292929</v>
      </c>
      <c r="L45" s="7">
        <v>-1.033323075</v>
      </c>
      <c r="M45" s="7">
        <v>-0.12629806259635165</v>
      </c>
      <c r="N45" s="7">
        <v>-671.73235166794541</v>
      </c>
      <c r="O45" s="7">
        <v>0</v>
      </c>
      <c r="P45" s="7"/>
      <c r="Q45" s="7"/>
      <c r="R45" s="7"/>
      <c r="S45" s="7"/>
      <c r="T45" s="7"/>
      <c r="U45" s="7"/>
      <c r="V45" s="7"/>
      <c r="W45" s="7"/>
      <c r="X45" s="7"/>
    </row>
    <row r="46" spans="1:24">
      <c r="A46" s="6">
        <v>2061</v>
      </c>
      <c r="B46" s="7">
        <v>5700</v>
      </c>
      <c r="C46" s="7">
        <v>130</v>
      </c>
      <c r="D46" s="7">
        <v>0</v>
      </c>
      <c r="E46" s="9">
        <v>0</v>
      </c>
      <c r="F46" s="9">
        <v>5.0041340667122451</v>
      </c>
      <c r="G46" s="7">
        <v>3.810378673994739E-3</v>
      </c>
      <c r="H46" s="7">
        <v>-118.74201260432578</v>
      </c>
      <c r="I46" s="7">
        <v>-1.033323075</v>
      </c>
      <c r="J46" s="7">
        <v>-0.12629806259635165</v>
      </c>
      <c r="K46" s="7">
        <v>-694.21048167292929</v>
      </c>
      <c r="L46" s="7">
        <v>-1.033323075</v>
      </c>
      <c r="M46" s="7">
        <v>-0.12629806259635165</v>
      </c>
      <c r="N46" s="7">
        <v>-697.56821134748191</v>
      </c>
      <c r="O46" s="7">
        <v>0</v>
      </c>
      <c r="P46" s="7"/>
      <c r="Q46" s="7"/>
      <c r="R46" s="7"/>
      <c r="S46" s="7"/>
      <c r="T46" s="7"/>
      <c r="U46" s="7"/>
      <c r="V46" s="7"/>
      <c r="W46" s="7"/>
      <c r="X46" s="7"/>
    </row>
    <row r="47" spans="1:24">
      <c r="A47" s="6">
        <v>2062</v>
      </c>
      <c r="B47" s="7">
        <v>5700</v>
      </c>
      <c r="C47" s="7">
        <v>130</v>
      </c>
      <c r="D47" s="7">
        <v>0</v>
      </c>
      <c r="E47" s="9">
        <v>0</v>
      </c>
      <c r="F47" s="9">
        <v>5.0041340667122451</v>
      </c>
      <c r="G47" s="7">
        <v>3.810378673994739E-3</v>
      </c>
      <c r="H47" s="7">
        <v>-97.289127729684139</v>
      </c>
      <c r="I47" s="7">
        <v>-1.033323075</v>
      </c>
      <c r="J47" s="7">
        <v>-0.12629806259635165</v>
      </c>
      <c r="K47" s="7">
        <v>-694.21048167292929</v>
      </c>
      <c r="L47" s="7">
        <v>-1.033323075</v>
      </c>
      <c r="M47" s="7">
        <v>-0.12629806259635165</v>
      </c>
      <c r="N47" s="7">
        <v>-723.40407102701818</v>
      </c>
      <c r="O47" s="7">
        <v>0</v>
      </c>
      <c r="P47" s="7"/>
      <c r="Q47" s="7"/>
      <c r="R47" s="7"/>
      <c r="S47" s="7"/>
      <c r="T47" s="7"/>
      <c r="U47" s="7"/>
      <c r="V47" s="7"/>
      <c r="W47" s="7"/>
      <c r="X47" s="7"/>
    </row>
    <row r="48" spans="1:24">
      <c r="A48" s="6">
        <v>2063</v>
      </c>
      <c r="B48" s="7">
        <v>5700</v>
      </c>
      <c r="C48" s="7">
        <v>130</v>
      </c>
      <c r="D48" s="7">
        <v>0</v>
      </c>
      <c r="E48" s="9">
        <v>0</v>
      </c>
      <c r="F48" s="9">
        <v>5.0041340667122451</v>
      </c>
      <c r="G48" s="7">
        <v>3.810378673994739E-3</v>
      </c>
      <c r="H48" s="7">
        <v>-75.836242855042414</v>
      </c>
      <c r="I48" s="7">
        <v>-1.033323075</v>
      </c>
      <c r="J48" s="7">
        <v>-0.12629806259635165</v>
      </c>
      <c r="K48" s="7">
        <v>-694.21048167292929</v>
      </c>
      <c r="L48" s="7">
        <v>-1.033323075</v>
      </c>
      <c r="M48" s="7">
        <v>-0.12629806259635165</v>
      </c>
      <c r="N48" s="7">
        <v>-749.23993070655456</v>
      </c>
      <c r="O48" s="7">
        <v>0</v>
      </c>
      <c r="P48" s="7"/>
      <c r="Q48" s="7"/>
      <c r="R48" s="7"/>
      <c r="S48" s="7"/>
      <c r="T48" s="7"/>
      <c r="U48" s="7"/>
      <c r="V48" s="7"/>
      <c r="W48" s="7"/>
      <c r="X48" s="7"/>
    </row>
    <row r="49" spans="1:24">
      <c r="A49" s="6">
        <v>2064</v>
      </c>
      <c r="B49" s="7">
        <v>5700</v>
      </c>
      <c r="C49" s="7">
        <v>130</v>
      </c>
      <c r="D49" s="7">
        <v>0</v>
      </c>
      <c r="E49" s="9">
        <v>0</v>
      </c>
      <c r="F49" s="9">
        <v>5.0041340667122451</v>
      </c>
      <c r="G49" s="7">
        <v>3.810378673994739E-3</v>
      </c>
      <c r="H49" s="7">
        <v>-54.383357980400682</v>
      </c>
      <c r="I49" s="7">
        <v>-1.033323075</v>
      </c>
      <c r="J49" s="7">
        <v>-0.12629806259635165</v>
      </c>
      <c r="K49" s="7">
        <v>-694.21048167292929</v>
      </c>
      <c r="L49" s="7">
        <v>-1.033323075</v>
      </c>
      <c r="M49" s="7">
        <v>-0.12629806259635165</v>
      </c>
      <c r="N49" s="7">
        <v>-775.07579038609106</v>
      </c>
      <c r="O49" s="7">
        <v>0</v>
      </c>
      <c r="P49" s="7"/>
      <c r="Q49" s="7"/>
      <c r="R49" s="7"/>
      <c r="S49" s="7"/>
      <c r="T49" s="7"/>
      <c r="U49" s="7"/>
      <c r="V49" s="7"/>
      <c r="W49" s="7"/>
      <c r="X49" s="7"/>
    </row>
    <row r="50" spans="1:24">
      <c r="A50" s="6">
        <v>2065</v>
      </c>
      <c r="B50" s="7">
        <v>5700</v>
      </c>
      <c r="C50" s="7">
        <v>130</v>
      </c>
      <c r="D50" s="7">
        <v>0</v>
      </c>
      <c r="E50" s="9">
        <v>0</v>
      </c>
      <c r="F50" s="9">
        <v>5.0041340667122451</v>
      </c>
      <c r="G50" s="7">
        <v>3.810378673994739E-3</v>
      </c>
      <c r="H50" s="7">
        <v>-54.383357980400682</v>
      </c>
      <c r="I50" s="7">
        <v>-1.033323075</v>
      </c>
      <c r="J50" s="7">
        <v>-0.12629806259635165</v>
      </c>
      <c r="K50" s="7">
        <v>-694.21048167292929</v>
      </c>
      <c r="L50" s="7">
        <v>-1.033323075</v>
      </c>
      <c r="M50" s="7">
        <v>-0.12629806259635165</v>
      </c>
      <c r="N50" s="7">
        <v>-775.07579038609106</v>
      </c>
      <c r="O50" s="7">
        <v>0</v>
      </c>
      <c r="P50" s="7"/>
      <c r="Q50" s="7"/>
      <c r="R50" s="7"/>
      <c r="S50" s="7"/>
      <c r="T50" s="7"/>
      <c r="U50" s="7"/>
      <c r="V50" s="7"/>
      <c r="W50" s="7"/>
      <c r="X50" s="7"/>
    </row>
    <row r="51" spans="1:24">
      <c r="A51" s="6">
        <v>2066</v>
      </c>
      <c r="B51" s="7">
        <v>5700</v>
      </c>
      <c r="C51" s="7">
        <v>130</v>
      </c>
      <c r="D51" s="7">
        <v>0</v>
      </c>
      <c r="E51" s="9">
        <v>0</v>
      </c>
      <c r="F51" s="9">
        <v>5.0041340667122451</v>
      </c>
      <c r="G51" s="7">
        <v>3.810378673994739E-3</v>
      </c>
      <c r="H51" s="7">
        <v>-54.383357980400682</v>
      </c>
      <c r="I51" s="7">
        <v>-1.033323075</v>
      </c>
      <c r="J51" s="7">
        <v>-0.12629806259635165</v>
      </c>
      <c r="K51" s="7">
        <v>-694.21048167292929</v>
      </c>
      <c r="L51" s="7">
        <v>-1.033323075</v>
      </c>
      <c r="M51" s="7">
        <v>-0.12629806259635165</v>
      </c>
      <c r="N51" s="7">
        <v>-775.07579038609106</v>
      </c>
      <c r="O51" s="7">
        <v>0</v>
      </c>
      <c r="P51" s="7"/>
      <c r="Q51" s="7"/>
      <c r="R51" s="7"/>
      <c r="S51" s="7"/>
      <c r="T51" s="7"/>
      <c r="U51" s="7"/>
      <c r="V51" s="7"/>
      <c r="W51" s="7"/>
      <c r="X51" s="7"/>
    </row>
    <row r="52" spans="1:24">
      <c r="A52" s="6">
        <v>2067</v>
      </c>
      <c r="B52" s="7">
        <v>5700</v>
      </c>
      <c r="C52" s="7">
        <v>130</v>
      </c>
      <c r="D52" s="7">
        <v>0</v>
      </c>
      <c r="E52" s="9">
        <v>0</v>
      </c>
      <c r="F52" s="9">
        <v>5.0041340667122451</v>
      </c>
      <c r="G52" s="7">
        <v>3.810378673994739E-3</v>
      </c>
      <c r="H52" s="7">
        <v>-54.383357980400682</v>
      </c>
      <c r="I52" s="7">
        <v>-1.033323075</v>
      </c>
      <c r="J52" s="7">
        <v>-0.12629806259635165</v>
      </c>
      <c r="K52" s="7">
        <v>-694.21048167292929</v>
      </c>
      <c r="L52" s="7">
        <v>-1.033323075</v>
      </c>
      <c r="M52" s="7">
        <v>-0.12629806259635165</v>
      </c>
      <c r="N52" s="7">
        <v>-775.07579038609106</v>
      </c>
      <c r="O52" s="7">
        <v>0</v>
      </c>
      <c r="P52" s="7"/>
      <c r="Q52" s="7"/>
      <c r="R52" s="7"/>
      <c r="S52" s="7"/>
      <c r="T52" s="7"/>
      <c r="U52" s="7"/>
      <c r="V52" s="7"/>
      <c r="W52" s="7"/>
      <c r="X52" s="7"/>
    </row>
    <row r="53" spans="1:24">
      <c r="A53" s="6">
        <v>2068</v>
      </c>
      <c r="B53" s="7">
        <v>5700</v>
      </c>
      <c r="C53" s="7">
        <v>130</v>
      </c>
      <c r="D53" s="7">
        <v>0</v>
      </c>
      <c r="E53" s="9">
        <v>0</v>
      </c>
      <c r="F53" s="9">
        <v>5.0041340667122451</v>
      </c>
      <c r="G53" s="7">
        <v>3.810378673994739E-3</v>
      </c>
      <c r="H53" s="7">
        <v>-54.383357980400682</v>
      </c>
      <c r="I53" s="7">
        <v>-1.033323075</v>
      </c>
      <c r="J53" s="7">
        <v>-0.12629806259635165</v>
      </c>
      <c r="K53" s="7">
        <v>-694.21048167292929</v>
      </c>
      <c r="L53" s="7">
        <v>-1.033323075</v>
      </c>
      <c r="M53" s="7">
        <v>-0.12629806259635165</v>
      </c>
      <c r="N53" s="7">
        <v>-775.07579038609106</v>
      </c>
      <c r="O53" s="7">
        <v>0</v>
      </c>
      <c r="P53" s="7"/>
      <c r="Q53" s="7"/>
      <c r="R53" s="7"/>
      <c r="S53" s="7"/>
      <c r="T53" s="7"/>
      <c r="U53" s="7"/>
      <c r="V53" s="7"/>
      <c r="W53" s="7"/>
      <c r="X53" s="7"/>
    </row>
    <row r="54" spans="1:24">
      <c r="A54" s="6">
        <v>2069</v>
      </c>
      <c r="B54" s="7">
        <v>5700</v>
      </c>
      <c r="C54" s="7">
        <v>130</v>
      </c>
      <c r="D54" s="7">
        <v>0</v>
      </c>
      <c r="E54" s="9">
        <v>0</v>
      </c>
      <c r="F54" s="9">
        <v>5.0041340667122451</v>
      </c>
      <c r="G54" s="7">
        <v>3.810378673994739E-3</v>
      </c>
      <c r="H54" s="7">
        <v>-54.383357980400682</v>
      </c>
      <c r="I54" s="7">
        <v>-1.033323075</v>
      </c>
      <c r="J54" s="7">
        <v>-0.12629806259635165</v>
      </c>
      <c r="K54" s="7">
        <v>-694.21048167292929</v>
      </c>
      <c r="L54" s="7">
        <v>-1.033323075</v>
      </c>
      <c r="M54" s="7">
        <v>-0.12629806259635165</v>
      </c>
      <c r="N54" s="7">
        <v>-775.07579038609106</v>
      </c>
      <c r="O54" s="7">
        <v>0</v>
      </c>
      <c r="P54" s="7"/>
      <c r="Q54" s="7"/>
      <c r="R54" s="7"/>
      <c r="S54" s="7"/>
      <c r="T54" s="7"/>
      <c r="U54" s="7"/>
      <c r="V54" s="7"/>
      <c r="W54" s="7"/>
      <c r="X54" s="7"/>
    </row>
    <row r="55" spans="1:24">
      <c r="A55" s="6">
        <v>2070</v>
      </c>
      <c r="B55" s="7">
        <v>5700</v>
      </c>
      <c r="C55" s="7">
        <v>130</v>
      </c>
      <c r="D55" s="7">
        <v>0</v>
      </c>
      <c r="E55" s="9">
        <v>0</v>
      </c>
      <c r="F55" s="9">
        <v>5.0041340667122451</v>
      </c>
      <c r="G55" s="7">
        <v>3.810378673994739E-3</v>
      </c>
      <c r="H55" s="7">
        <v>-54.383357980400682</v>
      </c>
      <c r="I55" s="7">
        <v>-1.033323075</v>
      </c>
      <c r="J55" s="7">
        <v>-0.12629806259635165</v>
      </c>
      <c r="K55" s="7">
        <v>-694.21048167292929</v>
      </c>
      <c r="L55" s="7">
        <v>-1.033323075</v>
      </c>
      <c r="M55" s="7">
        <v>-0.12629806259635165</v>
      </c>
      <c r="N55" s="7">
        <v>-775.07579038609106</v>
      </c>
      <c r="O55" s="7">
        <v>0</v>
      </c>
      <c r="P55" s="7"/>
      <c r="Q55" s="7"/>
      <c r="R55" s="7"/>
      <c r="S55" s="7"/>
      <c r="T55" s="7"/>
      <c r="U55" s="7"/>
      <c r="V55" s="7"/>
      <c r="W55" s="7"/>
      <c r="X55" s="7"/>
    </row>
    <row r="56" spans="1:24">
      <c r="A56" s="6">
        <v>2071</v>
      </c>
      <c r="B56" s="7">
        <v>5700</v>
      </c>
      <c r="C56" s="7">
        <v>130</v>
      </c>
      <c r="D56" s="7">
        <v>0</v>
      </c>
      <c r="E56" s="9">
        <v>0</v>
      </c>
      <c r="F56" s="9">
        <v>5.0041340667122451</v>
      </c>
      <c r="G56" s="7">
        <v>3.810378673994739E-3</v>
      </c>
      <c r="H56" s="7">
        <v>-54.383357980400682</v>
      </c>
      <c r="I56" s="7">
        <v>-1.033323075</v>
      </c>
      <c r="J56" s="7">
        <v>-0.12629806259635165</v>
      </c>
      <c r="K56" s="7">
        <v>-694.21048167292929</v>
      </c>
      <c r="L56" s="7">
        <v>-1.033323075</v>
      </c>
      <c r="M56" s="7">
        <v>-0.12629806259635165</v>
      </c>
      <c r="N56" s="7">
        <v>-775.07579038609106</v>
      </c>
      <c r="O56" s="7">
        <v>0</v>
      </c>
      <c r="P56" s="7"/>
      <c r="Q56" s="7"/>
      <c r="R56" s="7"/>
      <c r="S56" s="7"/>
      <c r="T56" s="7"/>
      <c r="U56" s="7"/>
      <c r="V56" s="7"/>
      <c r="W56" s="7"/>
      <c r="X56" s="7"/>
    </row>
    <row r="57" spans="1:24">
      <c r="A57" s="6">
        <v>2072</v>
      </c>
      <c r="B57" s="7">
        <v>5700</v>
      </c>
      <c r="C57" s="7">
        <v>130</v>
      </c>
      <c r="D57" s="7">
        <v>0</v>
      </c>
      <c r="E57" s="9">
        <v>0</v>
      </c>
      <c r="F57" s="9">
        <v>5.0041340667122451</v>
      </c>
      <c r="G57" s="7">
        <v>3.810378673994739E-3</v>
      </c>
      <c r="H57" s="7">
        <v>-54.383357980400682</v>
      </c>
      <c r="I57" s="7">
        <v>-1.033323075</v>
      </c>
      <c r="J57" s="7">
        <v>-0.12629806259635165</v>
      </c>
      <c r="K57" s="7">
        <v>-694.21048167292929</v>
      </c>
      <c r="L57" s="7">
        <v>-1.033323075</v>
      </c>
      <c r="M57" s="7">
        <v>-0.12629806259635165</v>
      </c>
      <c r="N57" s="7">
        <v>-775.07579038609106</v>
      </c>
      <c r="O57" s="7">
        <v>0</v>
      </c>
      <c r="P57" s="7"/>
      <c r="Q57" s="7"/>
      <c r="R57" s="7"/>
      <c r="S57" s="7"/>
      <c r="T57" s="7"/>
      <c r="U57" s="7"/>
      <c r="V57" s="7"/>
      <c r="W57" s="7"/>
      <c r="X57" s="7"/>
    </row>
    <row r="58" spans="1:24">
      <c r="A58" s="6">
        <v>2073</v>
      </c>
      <c r="B58" s="7">
        <v>5700</v>
      </c>
      <c r="C58" s="7">
        <v>130</v>
      </c>
      <c r="D58" s="7">
        <v>0</v>
      </c>
      <c r="E58" s="9">
        <v>0</v>
      </c>
      <c r="F58" s="9">
        <v>5.0041340667122451</v>
      </c>
      <c r="G58" s="7">
        <v>3.810378673994739E-3</v>
      </c>
      <c r="H58" s="7">
        <v>-54.383357980400682</v>
      </c>
      <c r="I58" s="7">
        <v>-1.033323075</v>
      </c>
      <c r="J58" s="7">
        <v>-0.12629806259635165</v>
      </c>
      <c r="K58" s="7">
        <v>-694.21048167292929</v>
      </c>
      <c r="L58" s="7">
        <v>-1.033323075</v>
      </c>
      <c r="M58" s="7">
        <v>-0.12629806259635165</v>
      </c>
      <c r="N58" s="7">
        <v>-775.07579038609106</v>
      </c>
      <c r="O58" s="7">
        <v>0</v>
      </c>
      <c r="P58" s="7"/>
      <c r="Q58" s="7"/>
      <c r="R58" s="7"/>
      <c r="S58" s="7"/>
      <c r="T58" s="7"/>
      <c r="U58" s="7"/>
      <c r="V58" s="7"/>
      <c r="W58" s="7"/>
      <c r="X58" s="7"/>
    </row>
    <row r="59" spans="1:24">
      <c r="A59" s="6">
        <v>2074</v>
      </c>
      <c r="B59" s="7">
        <v>5700</v>
      </c>
      <c r="C59" s="7">
        <v>130</v>
      </c>
      <c r="D59" s="7">
        <v>0</v>
      </c>
      <c r="E59" s="9">
        <v>0</v>
      </c>
      <c r="F59" s="9">
        <v>5.0041340667122451</v>
      </c>
      <c r="G59" s="7">
        <v>3.810378673994739E-3</v>
      </c>
      <c r="H59" s="7">
        <v>-54.383357980400682</v>
      </c>
      <c r="I59" s="7">
        <v>-1.033323075</v>
      </c>
      <c r="J59" s="7">
        <v>-0.12629806259635165</v>
      </c>
      <c r="K59" s="7">
        <v>-694.21048167292929</v>
      </c>
      <c r="L59" s="7">
        <v>-1.033323075</v>
      </c>
      <c r="M59" s="7">
        <v>-0.12629806259635165</v>
      </c>
      <c r="N59" s="7">
        <v>-775.07579038609106</v>
      </c>
      <c r="O59" s="7">
        <v>0</v>
      </c>
      <c r="P59" s="7"/>
      <c r="Q59" s="7"/>
      <c r="R59" s="7"/>
      <c r="S59" s="7"/>
      <c r="T59" s="7"/>
      <c r="U59" s="7"/>
      <c r="V59" s="7"/>
      <c r="W59" s="7"/>
      <c r="X59" s="7"/>
    </row>
    <row r="60" spans="1:24">
      <c r="A60" s="6">
        <v>2075</v>
      </c>
      <c r="B60" s="7">
        <v>5700</v>
      </c>
      <c r="C60" s="7">
        <v>130</v>
      </c>
      <c r="D60" s="7">
        <v>0</v>
      </c>
      <c r="E60" s="9">
        <v>0</v>
      </c>
      <c r="F60" s="9">
        <v>5.0041340667122451</v>
      </c>
      <c r="G60" s="7">
        <v>3.810378673994739E-3</v>
      </c>
      <c r="H60" s="7">
        <v>-54.383357980400682</v>
      </c>
      <c r="I60" s="7">
        <v>-1.033323075</v>
      </c>
      <c r="J60" s="7">
        <v>-0.12629806259635165</v>
      </c>
      <c r="K60" s="7">
        <v>-694.21048167292929</v>
      </c>
      <c r="L60" s="7">
        <v>-1.033323075</v>
      </c>
      <c r="M60" s="7">
        <v>-0.12629806259635165</v>
      </c>
      <c r="N60" s="7">
        <v>-775.07579038609106</v>
      </c>
      <c r="O60" s="7">
        <v>0</v>
      </c>
      <c r="P60" s="7"/>
      <c r="Q60" s="7"/>
      <c r="R60" s="7"/>
      <c r="S60" s="7"/>
      <c r="T60" s="7"/>
      <c r="U60" s="7"/>
      <c r="V60" s="7"/>
      <c r="W60" s="7"/>
      <c r="X60" s="7"/>
    </row>
    <row r="61" spans="1:24">
      <c r="A61" s="6">
        <v>2076</v>
      </c>
      <c r="B61" s="7">
        <v>5700</v>
      </c>
      <c r="C61" s="7">
        <v>130</v>
      </c>
      <c r="D61" s="7">
        <v>0</v>
      </c>
      <c r="E61" s="9">
        <v>0</v>
      </c>
      <c r="F61" s="9">
        <v>5.0041340667122451</v>
      </c>
      <c r="G61" s="7">
        <v>3.810378673994739E-3</v>
      </c>
      <c r="H61" s="7">
        <v>-54.383357980400682</v>
      </c>
      <c r="I61" s="7">
        <v>-1.033323075</v>
      </c>
      <c r="J61" s="7">
        <v>-0.12629806259635165</v>
      </c>
      <c r="K61" s="7">
        <v>-694.21048167292929</v>
      </c>
      <c r="L61" s="7">
        <v>-1.033323075</v>
      </c>
      <c r="M61" s="7">
        <v>-0.12629806259635165</v>
      </c>
      <c r="N61" s="7">
        <v>-775.07579038609106</v>
      </c>
      <c r="O61" s="7">
        <v>0</v>
      </c>
      <c r="P61" s="7"/>
      <c r="Q61" s="7"/>
      <c r="R61" s="7"/>
      <c r="S61" s="7"/>
      <c r="T61" s="7"/>
      <c r="U61" s="7"/>
      <c r="V61" s="7"/>
      <c r="W61" s="7"/>
      <c r="X61" s="7"/>
    </row>
    <row r="62" spans="1:24">
      <c r="A62" s="6">
        <v>2077</v>
      </c>
      <c r="B62" s="7">
        <v>5700</v>
      </c>
      <c r="C62" s="7">
        <v>130</v>
      </c>
      <c r="D62" s="7">
        <v>0</v>
      </c>
      <c r="E62" s="9">
        <v>0</v>
      </c>
      <c r="F62" s="9">
        <v>5.0041340667122451</v>
      </c>
      <c r="G62" s="7">
        <v>3.810378673994739E-3</v>
      </c>
      <c r="H62" s="7">
        <v>-54.383357980400682</v>
      </c>
      <c r="I62" s="7">
        <v>-1.033323075</v>
      </c>
      <c r="J62" s="7">
        <v>-0.12629806259635165</v>
      </c>
      <c r="K62" s="7">
        <v>-694.21048167292929</v>
      </c>
      <c r="L62" s="7">
        <v>-1.033323075</v>
      </c>
      <c r="M62" s="7">
        <v>-0.12629806259635165</v>
      </c>
      <c r="N62" s="7">
        <v>-775.07579038609106</v>
      </c>
      <c r="O62" s="7">
        <v>0</v>
      </c>
      <c r="P62" s="7"/>
      <c r="Q62" s="7"/>
      <c r="R62" s="7"/>
      <c r="S62" s="7"/>
      <c r="T62" s="7"/>
      <c r="U62" s="7"/>
      <c r="V62" s="7"/>
      <c r="W62" s="7"/>
      <c r="X62" s="7"/>
    </row>
    <row r="63" spans="1:24">
      <c r="A63" s="6">
        <v>2078</v>
      </c>
      <c r="B63" s="7">
        <v>5700</v>
      </c>
      <c r="C63" s="7">
        <v>130</v>
      </c>
      <c r="D63" s="7">
        <v>0</v>
      </c>
      <c r="E63" s="9">
        <v>0</v>
      </c>
      <c r="F63" s="9">
        <v>5.0041340667122451</v>
      </c>
      <c r="G63" s="7">
        <v>3.810378673994739E-3</v>
      </c>
      <c r="H63" s="7">
        <v>-54.383357980400682</v>
      </c>
      <c r="I63" s="7">
        <v>-1.033323075</v>
      </c>
      <c r="J63" s="7">
        <v>-0.12629806259635165</v>
      </c>
      <c r="K63" s="7">
        <v>-694.21048167292929</v>
      </c>
      <c r="L63" s="7">
        <v>-1.033323075</v>
      </c>
      <c r="M63" s="7">
        <v>-0.12629806259635165</v>
      </c>
      <c r="N63" s="7">
        <v>-775.07579038609106</v>
      </c>
      <c r="O63" s="7">
        <v>0</v>
      </c>
      <c r="P63" s="7"/>
      <c r="Q63" s="7"/>
      <c r="R63" s="7"/>
      <c r="S63" s="7"/>
      <c r="T63" s="7"/>
      <c r="U63" s="7"/>
      <c r="V63" s="7"/>
      <c r="W63" s="7"/>
      <c r="X63" s="7"/>
    </row>
    <row r="64" spans="1:24">
      <c r="A64" s="6">
        <v>2079</v>
      </c>
      <c r="B64" s="7">
        <v>5700</v>
      </c>
      <c r="C64" s="7">
        <v>130</v>
      </c>
      <c r="D64" s="7">
        <v>0</v>
      </c>
      <c r="E64" s="9">
        <v>0</v>
      </c>
      <c r="F64" s="9">
        <v>5.0041340667122451</v>
      </c>
      <c r="G64" s="7">
        <v>3.810378673994739E-3</v>
      </c>
      <c r="H64" s="7">
        <v>-54.383357980400682</v>
      </c>
      <c r="I64" s="7">
        <v>-1.033323075</v>
      </c>
      <c r="J64" s="7">
        <v>-0.12629806259635165</v>
      </c>
      <c r="K64" s="7">
        <v>-694.21048167292929</v>
      </c>
      <c r="L64" s="7">
        <v>-1.033323075</v>
      </c>
      <c r="M64" s="7">
        <v>-0.12629806259635165</v>
      </c>
      <c r="N64" s="7">
        <v>-775.07579038609106</v>
      </c>
      <c r="O64" s="7">
        <v>0</v>
      </c>
      <c r="P64" s="7"/>
      <c r="Q64" s="7"/>
      <c r="R64" s="7"/>
      <c r="S64" s="7"/>
      <c r="T64" s="7"/>
      <c r="U64" s="7"/>
      <c r="V64" s="7"/>
      <c r="W64" s="7"/>
      <c r="X64" s="7"/>
    </row>
    <row r="65" spans="1:24">
      <c r="A65" s="6">
        <v>2080</v>
      </c>
      <c r="B65" s="7">
        <v>5700</v>
      </c>
      <c r="C65" s="7">
        <v>130</v>
      </c>
      <c r="D65" s="7">
        <v>0</v>
      </c>
      <c r="E65" s="9">
        <v>0</v>
      </c>
      <c r="F65" s="9">
        <v>5.0041340667122451</v>
      </c>
      <c r="G65" s="7">
        <v>3.810378673994739E-3</v>
      </c>
      <c r="H65" s="7">
        <v>-54.383357980400682</v>
      </c>
      <c r="I65" s="7">
        <v>-1.033323075</v>
      </c>
      <c r="J65" s="7">
        <v>-0.12629806259635165</v>
      </c>
      <c r="K65" s="7">
        <v>-694.21048167292929</v>
      </c>
      <c r="L65" s="7">
        <v>-1.033323075</v>
      </c>
      <c r="M65" s="7">
        <v>-0.12629806259635165</v>
      </c>
      <c r="N65" s="7">
        <v>-775.07579038609106</v>
      </c>
      <c r="O65" s="7">
        <v>0</v>
      </c>
      <c r="P65" s="7"/>
      <c r="Q65" s="7"/>
      <c r="R65" s="7"/>
      <c r="S65" s="7"/>
      <c r="T65" s="7"/>
      <c r="U65" s="7"/>
      <c r="V65" s="7"/>
      <c r="W65" s="7"/>
      <c r="X65" s="7"/>
    </row>
    <row r="66" spans="1:24">
      <c r="A66" s="6">
        <v>2081</v>
      </c>
      <c r="B66" s="7">
        <v>5700</v>
      </c>
      <c r="C66" s="7">
        <v>130</v>
      </c>
      <c r="D66" s="7">
        <v>0</v>
      </c>
      <c r="E66" s="9">
        <v>0</v>
      </c>
      <c r="F66" s="9">
        <v>5.0041340667122451</v>
      </c>
      <c r="G66" s="7">
        <v>3.810378673994739E-3</v>
      </c>
      <c r="H66" s="7">
        <v>-54.383357980400682</v>
      </c>
      <c r="I66" s="7">
        <v>-1.033323075</v>
      </c>
      <c r="J66" s="7">
        <v>-0.12629806259635165</v>
      </c>
      <c r="K66" s="7">
        <v>-694.21048167292929</v>
      </c>
      <c r="L66" s="7">
        <v>-1.033323075</v>
      </c>
      <c r="M66" s="7">
        <v>-0.12629806259635165</v>
      </c>
      <c r="N66" s="7">
        <v>-775.07579038609106</v>
      </c>
      <c r="O66" s="7">
        <v>0</v>
      </c>
      <c r="P66" s="7"/>
      <c r="Q66" s="7"/>
      <c r="R66" s="7"/>
      <c r="S66" s="7"/>
      <c r="T66" s="7"/>
      <c r="U66" s="7"/>
      <c r="V66" s="7"/>
      <c r="W66" s="7"/>
      <c r="X66" s="7"/>
    </row>
    <row r="67" spans="1:24">
      <c r="A67" s="6">
        <v>2082</v>
      </c>
      <c r="B67" s="7">
        <v>5700</v>
      </c>
      <c r="C67" s="7">
        <v>130</v>
      </c>
      <c r="D67" s="7">
        <v>0</v>
      </c>
      <c r="E67" s="9">
        <v>0</v>
      </c>
      <c r="F67" s="9">
        <v>5.0041340667122451</v>
      </c>
      <c r="G67" s="7">
        <v>3.810378673994739E-3</v>
      </c>
      <c r="H67" s="7">
        <v>-54.383357980400682</v>
      </c>
      <c r="I67" s="7">
        <v>-1.033323075</v>
      </c>
      <c r="J67" s="7">
        <v>-0.12629806259635165</v>
      </c>
      <c r="K67" s="7">
        <v>-694.21048167292929</v>
      </c>
      <c r="L67" s="7">
        <v>-1.033323075</v>
      </c>
      <c r="M67" s="7">
        <v>-0.12629806259635165</v>
      </c>
      <c r="N67" s="7">
        <v>-775.07579038609106</v>
      </c>
      <c r="O67" s="7">
        <v>0</v>
      </c>
      <c r="P67" s="7"/>
      <c r="Q67" s="7"/>
      <c r="R67" s="7"/>
      <c r="S67" s="7"/>
      <c r="T67" s="7"/>
      <c r="U67" s="7"/>
      <c r="V67" s="7"/>
      <c r="W67" s="7"/>
      <c r="X67" s="7"/>
    </row>
    <row r="68" spans="1:24">
      <c r="A68" s="6">
        <v>2083</v>
      </c>
      <c r="B68" s="7">
        <v>5700</v>
      </c>
      <c r="C68" s="7">
        <v>130</v>
      </c>
      <c r="D68" s="7">
        <v>0</v>
      </c>
      <c r="E68" s="9">
        <v>0</v>
      </c>
      <c r="F68" s="9">
        <v>5.0041340667122451</v>
      </c>
      <c r="G68" s="7">
        <v>3.810378673994739E-3</v>
      </c>
      <c r="H68" s="7">
        <v>-54.383357980400682</v>
      </c>
      <c r="I68" s="7">
        <v>-1.033323075</v>
      </c>
      <c r="J68" s="7">
        <v>-0.12629806259635165</v>
      </c>
      <c r="K68" s="7">
        <v>-694.21048167292929</v>
      </c>
      <c r="L68" s="7">
        <v>-1.033323075</v>
      </c>
      <c r="M68" s="7">
        <v>-0.12629806259635165</v>
      </c>
      <c r="N68" s="7">
        <v>-775.07579038609106</v>
      </c>
      <c r="O68" s="7">
        <v>0</v>
      </c>
      <c r="P68" s="7"/>
      <c r="Q68" s="7"/>
      <c r="R68" s="7"/>
      <c r="S68" s="7"/>
      <c r="T68" s="7"/>
      <c r="U68" s="7"/>
      <c r="V68" s="7"/>
      <c r="W68" s="7"/>
      <c r="X68" s="7"/>
    </row>
    <row r="69" spans="1:24">
      <c r="A69" s="6">
        <v>2084</v>
      </c>
      <c r="B69" s="7">
        <v>5700</v>
      </c>
      <c r="C69" s="7">
        <v>130</v>
      </c>
      <c r="D69" s="7">
        <v>0</v>
      </c>
      <c r="E69" s="9">
        <v>0</v>
      </c>
      <c r="F69" s="9">
        <v>5.0041340667122451</v>
      </c>
      <c r="G69" s="7">
        <v>3.810378673994739E-3</v>
      </c>
      <c r="H69" s="7">
        <v>-54.383357980400682</v>
      </c>
      <c r="I69" s="7">
        <v>-1.033323075</v>
      </c>
      <c r="J69" s="7">
        <v>-0.12629806259635165</v>
      </c>
      <c r="K69" s="7">
        <v>-694.21048167292929</v>
      </c>
      <c r="L69" s="7">
        <v>-1.033323075</v>
      </c>
      <c r="M69" s="7">
        <v>-0.12629806259635165</v>
      </c>
      <c r="N69" s="7">
        <v>-775.07579038609106</v>
      </c>
      <c r="O69" s="7">
        <v>0</v>
      </c>
      <c r="P69" s="7"/>
      <c r="Q69" s="7"/>
      <c r="R69" s="7"/>
      <c r="S69" s="7"/>
      <c r="T69" s="7"/>
      <c r="U69" s="7"/>
      <c r="V69" s="7"/>
      <c r="W69" s="7"/>
      <c r="X69" s="7"/>
    </row>
    <row r="70" spans="1:24">
      <c r="A70" s="6">
        <v>2085</v>
      </c>
      <c r="B70" s="7">
        <v>5700</v>
      </c>
      <c r="C70" s="7">
        <v>130</v>
      </c>
      <c r="D70" s="7">
        <v>0</v>
      </c>
      <c r="E70" s="9">
        <v>0</v>
      </c>
      <c r="F70" s="9">
        <v>5.0041340667122451</v>
      </c>
      <c r="G70" s="7">
        <v>3.810378673994739E-3</v>
      </c>
      <c r="H70" s="7">
        <v>-54.383357980400682</v>
      </c>
      <c r="I70" s="7">
        <v>-1.033323075</v>
      </c>
      <c r="J70" s="7">
        <v>-0.12629806259635165</v>
      </c>
      <c r="K70" s="7">
        <v>-694.21048167292929</v>
      </c>
      <c r="L70" s="7">
        <v>-1.033323075</v>
      </c>
      <c r="M70" s="7">
        <v>-0.12629806259635165</v>
      </c>
      <c r="N70" s="7">
        <v>-775.07579038609106</v>
      </c>
      <c r="O70" s="7">
        <v>0</v>
      </c>
      <c r="P70" s="7"/>
      <c r="Q70" s="7"/>
      <c r="R70" s="7"/>
      <c r="S70" s="7"/>
      <c r="T70" s="7"/>
      <c r="U70" s="7"/>
      <c r="V70" s="7"/>
      <c r="W70" s="7"/>
      <c r="X70" s="7"/>
    </row>
    <row r="71" spans="1:24">
      <c r="A71" s="6">
        <v>2086</v>
      </c>
      <c r="B71" s="7">
        <v>5700</v>
      </c>
      <c r="C71" s="7">
        <v>130</v>
      </c>
      <c r="D71" s="7">
        <v>0</v>
      </c>
      <c r="E71" s="9">
        <v>0</v>
      </c>
      <c r="F71" s="9">
        <v>5.0041340667122451</v>
      </c>
      <c r="G71" s="7">
        <v>3.810378673994739E-3</v>
      </c>
      <c r="H71" s="7">
        <v>-54.383357980400682</v>
      </c>
      <c r="I71" s="7">
        <v>-1.033323075</v>
      </c>
      <c r="J71" s="7">
        <v>-0.12629806259635165</v>
      </c>
      <c r="K71" s="7">
        <v>-694.21048167292929</v>
      </c>
      <c r="L71" s="7">
        <v>-1.033323075</v>
      </c>
      <c r="M71" s="7">
        <v>-0.12629806259635165</v>
      </c>
      <c r="N71" s="7">
        <v>-775.07579038609106</v>
      </c>
      <c r="O71" s="7">
        <v>0</v>
      </c>
      <c r="P71" s="7"/>
      <c r="Q71" s="7"/>
      <c r="R71" s="7"/>
      <c r="S71" s="7"/>
      <c r="T71" s="7"/>
      <c r="U71" s="7"/>
      <c r="V71" s="7"/>
      <c r="W71" s="7"/>
      <c r="X71" s="7"/>
    </row>
    <row r="72" spans="1:24">
      <c r="A72" s="6">
        <v>2087</v>
      </c>
      <c r="B72" s="7">
        <v>5700</v>
      </c>
      <c r="C72" s="7">
        <v>130</v>
      </c>
      <c r="D72" s="7">
        <v>0</v>
      </c>
      <c r="E72" s="9">
        <v>0</v>
      </c>
      <c r="F72" s="9">
        <v>5.0041340667122451</v>
      </c>
      <c r="G72" s="7">
        <v>3.810378673994739E-3</v>
      </c>
      <c r="H72" s="7">
        <v>-54.383357980400682</v>
      </c>
      <c r="I72" s="7">
        <v>-1.033323075</v>
      </c>
      <c r="J72" s="7">
        <v>-0.12629806259635165</v>
      </c>
      <c r="K72" s="7">
        <v>-694.21048167292929</v>
      </c>
      <c r="L72" s="7">
        <v>-1.033323075</v>
      </c>
      <c r="M72" s="7">
        <v>-0.12629806259635165</v>
      </c>
      <c r="N72" s="7">
        <v>-775.07579038609106</v>
      </c>
      <c r="O72" s="7">
        <v>0</v>
      </c>
      <c r="P72" s="7"/>
      <c r="Q72" s="7"/>
      <c r="R72" s="7"/>
      <c r="S72" s="7"/>
      <c r="T72" s="7"/>
      <c r="U72" s="7"/>
      <c r="V72" s="7"/>
      <c r="W72" s="7"/>
      <c r="X72" s="7"/>
    </row>
    <row r="73" spans="1:24">
      <c r="A73" s="6">
        <v>2088</v>
      </c>
      <c r="B73" s="7">
        <v>5700</v>
      </c>
      <c r="C73" s="7">
        <v>130</v>
      </c>
      <c r="D73" s="7">
        <v>0</v>
      </c>
      <c r="E73" s="9">
        <v>0</v>
      </c>
      <c r="F73" s="9">
        <v>5.0041340667122451</v>
      </c>
      <c r="G73" s="7">
        <v>3.810378673994739E-3</v>
      </c>
      <c r="H73" s="7">
        <v>-54.383357980400682</v>
      </c>
      <c r="I73" s="7">
        <v>-1.033323075</v>
      </c>
      <c r="J73" s="7">
        <v>-0.12629806259635165</v>
      </c>
      <c r="K73" s="7">
        <v>-694.21048167292929</v>
      </c>
      <c r="L73" s="7">
        <v>-1.033323075</v>
      </c>
      <c r="M73" s="7">
        <v>-0.12629806259635165</v>
      </c>
      <c r="N73" s="7">
        <v>-775.07579038609106</v>
      </c>
      <c r="O73" s="7">
        <v>0</v>
      </c>
      <c r="P73" s="7"/>
      <c r="Q73" s="7"/>
      <c r="R73" s="7"/>
      <c r="S73" s="7"/>
      <c r="T73" s="7"/>
      <c r="U73" s="7"/>
      <c r="V73" s="7"/>
      <c r="W73" s="7"/>
      <c r="X73" s="7"/>
    </row>
    <row r="74" spans="1:24">
      <c r="A74" s="6">
        <v>2089</v>
      </c>
      <c r="B74" s="7">
        <v>5700</v>
      </c>
      <c r="C74" s="7">
        <v>130</v>
      </c>
      <c r="D74" s="7">
        <v>0</v>
      </c>
      <c r="E74" s="9">
        <v>0</v>
      </c>
      <c r="F74" s="9">
        <v>5.0041340667122451</v>
      </c>
      <c r="G74" s="7">
        <v>3.810378673994739E-3</v>
      </c>
      <c r="H74" s="7">
        <v>-54.383357980400682</v>
      </c>
      <c r="I74" s="7">
        <v>-1.033323075</v>
      </c>
      <c r="J74" s="7">
        <v>-0.12629806259635165</v>
      </c>
      <c r="K74" s="7">
        <v>-694.21048167292929</v>
      </c>
      <c r="L74" s="7">
        <v>-1.033323075</v>
      </c>
      <c r="M74" s="7">
        <v>-0.12629806259635165</v>
      </c>
      <c r="N74" s="7">
        <v>-775.07579038609106</v>
      </c>
      <c r="O74" s="7">
        <v>0</v>
      </c>
      <c r="P74" s="7"/>
      <c r="Q74" s="7"/>
      <c r="R74" s="7"/>
      <c r="S74" s="7"/>
      <c r="T74" s="7"/>
      <c r="U74" s="7"/>
      <c r="V74" s="7"/>
      <c r="W74" s="7"/>
      <c r="X74" s="7"/>
    </row>
    <row r="75" spans="1:24">
      <c r="A75" s="6">
        <v>2090</v>
      </c>
      <c r="B75" s="7">
        <v>5700</v>
      </c>
      <c r="C75" s="7">
        <v>130</v>
      </c>
      <c r="D75" s="7">
        <v>0</v>
      </c>
      <c r="E75" s="9">
        <v>0</v>
      </c>
      <c r="F75" s="9">
        <v>5.0041340667122451</v>
      </c>
      <c r="G75" s="7">
        <v>3.810378673994739E-3</v>
      </c>
      <c r="H75" s="7">
        <v>-54.383357980400682</v>
      </c>
      <c r="I75" s="7">
        <v>-1.033323075</v>
      </c>
      <c r="J75" s="7">
        <v>-0.12629806259635165</v>
      </c>
      <c r="K75" s="7">
        <v>-694.21048167292929</v>
      </c>
      <c r="L75" s="7">
        <v>-1.033323075</v>
      </c>
      <c r="M75" s="7">
        <v>-0.12629806259635165</v>
      </c>
      <c r="N75" s="7">
        <v>-775.07579038609106</v>
      </c>
      <c r="O75" s="7">
        <v>0</v>
      </c>
      <c r="P75" s="7"/>
      <c r="Q75" s="7"/>
      <c r="R75" s="7"/>
      <c r="S75" s="7"/>
      <c r="T75" s="7"/>
      <c r="U75" s="7"/>
      <c r="V75" s="7"/>
      <c r="W75" s="7"/>
      <c r="X75" s="7"/>
    </row>
    <row r="76" spans="1:24">
      <c r="A76" s="6">
        <v>2091</v>
      </c>
      <c r="B76" s="7">
        <v>5700</v>
      </c>
      <c r="C76" s="7">
        <v>130</v>
      </c>
      <c r="D76" s="7">
        <v>0</v>
      </c>
      <c r="E76" s="9">
        <v>0</v>
      </c>
      <c r="F76" s="9">
        <v>5.0041340667122451</v>
      </c>
      <c r="G76" s="7">
        <v>3.810378673994739E-3</v>
      </c>
      <c r="H76" s="7">
        <v>-54.383357980400682</v>
      </c>
      <c r="I76" s="7">
        <v>-1.033323075</v>
      </c>
      <c r="J76" s="7">
        <v>-0.12629806259635165</v>
      </c>
      <c r="K76" s="7">
        <v>-694.21048167292929</v>
      </c>
      <c r="L76" s="7">
        <v>-1.033323075</v>
      </c>
      <c r="M76" s="7">
        <v>-0.12629806259635165</v>
      </c>
      <c r="N76" s="7">
        <v>-775.07579038609106</v>
      </c>
      <c r="O76" s="7">
        <v>0</v>
      </c>
      <c r="P76" s="7"/>
      <c r="Q76" s="7"/>
      <c r="R76" s="7"/>
      <c r="S76" s="7"/>
      <c r="T76" s="7"/>
      <c r="U76" s="7"/>
      <c r="V76" s="7"/>
      <c r="W76" s="7"/>
      <c r="X76" s="7"/>
    </row>
    <row r="77" spans="1:24">
      <c r="A77" s="6">
        <v>2092</v>
      </c>
      <c r="B77" s="7">
        <v>5700</v>
      </c>
      <c r="C77" s="7">
        <v>130</v>
      </c>
      <c r="D77" s="7">
        <v>0</v>
      </c>
      <c r="E77" s="9">
        <v>0</v>
      </c>
      <c r="F77" s="9">
        <v>5.0041340667122451</v>
      </c>
      <c r="G77" s="7">
        <v>3.810378673994739E-3</v>
      </c>
      <c r="H77" s="7">
        <v>-54.383357980400682</v>
      </c>
      <c r="I77" s="7">
        <v>-1.033323075</v>
      </c>
      <c r="J77" s="7">
        <v>-0.12629806259635165</v>
      </c>
      <c r="K77" s="7">
        <v>-694.21048167292929</v>
      </c>
      <c r="L77" s="7">
        <v>-1.033323075</v>
      </c>
      <c r="M77" s="7">
        <v>-0.12629806259635165</v>
      </c>
      <c r="N77" s="7">
        <v>-775.07579038609106</v>
      </c>
      <c r="O77" s="7">
        <v>0</v>
      </c>
      <c r="P77" s="7"/>
      <c r="Q77" s="7"/>
      <c r="R77" s="7"/>
      <c r="S77" s="7"/>
      <c r="T77" s="7"/>
      <c r="U77" s="7"/>
      <c r="V77" s="7"/>
      <c r="W77" s="7"/>
      <c r="X77" s="7"/>
    </row>
    <row r="78" spans="1:24">
      <c r="A78" s="6">
        <v>2093</v>
      </c>
      <c r="B78" s="7">
        <v>5700</v>
      </c>
      <c r="C78" s="7">
        <v>130</v>
      </c>
      <c r="D78" s="7">
        <v>0</v>
      </c>
      <c r="E78" s="9">
        <v>0</v>
      </c>
      <c r="F78" s="9">
        <v>5.0041340667122451</v>
      </c>
      <c r="G78" s="7">
        <v>3.810378673994739E-3</v>
      </c>
      <c r="H78" s="7">
        <v>-54.383357980400682</v>
      </c>
      <c r="I78" s="7">
        <v>-1.033323075</v>
      </c>
      <c r="J78" s="7">
        <v>-0.12629806259635165</v>
      </c>
      <c r="K78" s="7">
        <v>-694.21048167292929</v>
      </c>
      <c r="L78" s="7">
        <v>-1.033323075</v>
      </c>
      <c r="M78" s="7">
        <v>-0.12629806259635165</v>
      </c>
      <c r="N78" s="7">
        <v>-775.07579038609106</v>
      </c>
      <c r="O78" s="7">
        <v>0</v>
      </c>
      <c r="P78" s="7"/>
      <c r="Q78" s="7"/>
      <c r="R78" s="7"/>
      <c r="S78" s="7"/>
      <c r="T78" s="7"/>
      <c r="U78" s="7"/>
      <c r="V78" s="7"/>
      <c r="W78" s="7"/>
      <c r="X78" s="7"/>
    </row>
    <row r="79" spans="1:24">
      <c r="A79" s="6">
        <v>2094</v>
      </c>
      <c r="B79" s="7">
        <v>5700</v>
      </c>
      <c r="C79" s="7">
        <v>130</v>
      </c>
      <c r="D79" s="7">
        <v>0</v>
      </c>
      <c r="E79" s="9">
        <v>0</v>
      </c>
      <c r="F79" s="9">
        <v>5.0041340667122451</v>
      </c>
      <c r="G79" s="7">
        <v>3.810378673994739E-3</v>
      </c>
      <c r="H79" s="7">
        <v>-54.383357980400682</v>
      </c>
      <c r="I79" s="7">
        <v>-1.033323075</v>
      </c>
      <c r="J79" s="7">
        <v>-0.12629806259635165</v>
      </c>
      <c r="K79" s="7">
        <v>-694.21048167292929</v>
      </c>
      <c r="L79" s="7">
        <v>-1.033323075</v>
      </c>
      <c r="M79" s="7">
        <v>-0.12629806259635165</v>
      </c>
      <c r="N79" s="7">
        <v>-775.07579038609106</v>
      </c>
      <c r="O79" s="7">
        <v>0</v>
      </c>
      <c r="P79" s="7"/>
      <c r="Q79" s="7"/>
      <c r="R79" s="7"/>
      <c r="S79" s="7"/>
      <c r="T79" s="7"/>
      <c r="U79" s="7"/>
      <c r="V79" s="7"/>
      <c r="W79" s="7"/>
      <c r="X79" s="7"/>
    </row>
    <row r="80" spans="1:24">
      <c r="A80" s="6">
        <v>2095</v>
      </c>
      <c r="B80" s="7">
        <v>5700</v>
      </c>
      <c r="C80" s="7">
        <v>130</v>
      </c>
      <c r="D80" s="7">
        <v>0</v>
      </c>
      <c r="E80" s="9">
        <v>0</v>
      </c>
      <c r="F80" s="9">
        <v>5.0041340667122451</v>
      </c>
      <c r="G80" s="7">
        <v>3.810378673994739E-3</v>
      </c>
      <c r="H80" s="7">
        <v>-54.383357980400682</v>
      </c>
      <c r="I80" s="7">
        <v>-1.033323075</v>
      </c>
      <c r="J80" s="7">
        <v>-0.12629806259635165</v>
      </c>
      <c r="K80" s="7">
        <v>-694.21048167292929</v>
      </c>
      <c r="L80" s="7">
        <v>-1.033323075</v>
      </c>
      <c r="M80" s="7">
        <v>-0.12629806259635165</v>
      </c>
      <c r="N80" s="7">
        <v>-775.07579038609106</v>
      </c>
      <c r="O80" s="7">
        <v>0</v>
      </c>
      <c r="P80" s="7"/>
      <c r="Q80" s="7"/>
      <c r="R80" s="7"/>
      <c r="S80" s="7"/>
      <c r="T80" s="7"/>
      <c r="U80" s="7"/>
      <c r="V80" s="7"/>
      <c r="W80" s="7"/>
      <c r="X80" s="7"/>
    </row>
    <row r="81" spans="1:24">
      <c r="A81" s="6">
        <v>2096</v>
      </c>
      <c r="B81" s="7">
        <v>5700</v>
      </c>
      <c r="C81" s="7">
        <v>130</v>
      </c>
      <c r="D81" s="7">
        <v>0</v>
      </c>
      <c r="E81" s="9">
        <v>0</v>
      </c>
      <c r="F81" s="9">
        <v>5.0041340667122451</v>
      </c>
      <c r="G81" s="7">
        <v>3.810378673994739E-3</v>
      </c>
      <c r="H81" s="7">
        <v>-54.383357980400682</v>
      </c>
      <c r="I81" s="7">
        <v>-1.033323075</v>
      </c>
      <c r="J81" s="7">
        <v>-0.12629806259635165</v>
      </c>
      <c r="K81" s="7">
        <v>-694.21048167292929</v>
      </c>
      <c r="L81" s="7">
        <v>-1.033323075</v>
      </c>
      <c r="M81" s="7">
        <v>-0.12629806259635165</v>
      </c>
      <c r="N81" s="7">
        <v>-775.07579038609106</v>
      </c>
      <c r="O81" s="7">
        <v>0</v>
      </c>
      <c r="P81" s="7"/>
      <c r="Q81" s="7"/>
      <c r="R81" s="7"/>
      <c r="S81" s="7"/>
      <c r="T81" s="7"/>
      <c r="U81" s="7"/>
      <c r="V81" s="7"/>
      <c r="W81" s="7"/>
      <c r="X81" s="7"/>
    </row>
    <row r="82" spans="1:24">
      <c r="A82" s="6">
        <v>2097</v>
      </c>
      <c r="B82" s="7">
        <v>5700</v>
      </c>
      <c r="C82" s="7">
        <v>130</v>
      </c>
      <c r="D82" s="7">
        <v>0</v>
      </c>
      <c r="E82" s="9">
        <v>0</v>
      </c>
      <c r="F82" s="9">
        <v>5.0041340667122451</v>
      </c>
      <c r="G82" s="7">
        <v>3.810378673994739E-3</v>
      </c>
      <c r="H82" s="7">
        <v>-54.383357980400682</v>
      </c>
      <c r="I82" s="7">
        <v>-1.033323075</v>
      </c>
      <c r="J82" s="7">
        <v>-0.12629806259635165</v>
      </c>
      <c r="K82" s="7">
        <v>-694.21048167292929</v>
      </c>
      <c r="L82" s="7">
        <v>-1.033323075</v>
      </c>
      <c r="M82" s="7">
        <v>-0.12629806259635165</v>
      </c>
      <c r="N82" s="7">
        <v>-775.07579038609106</v>
      </c>
      <c r="O82" s="7">
        <v>0</v>
      </c>
      <c r="P82" s="7"/>
      <c r="Q82" s="7"/>
      <c r="R82" s="7"/>
      <c r="S82" s="7"/>
      <c r="T82" s="7"/>
      <c r="U82" s="7"/>
      <c r="V82" s="7"/>
      <c r="W82" s="7"/>
      <c r="X82" s="7"/>
    </row>
    <row r="83" spans="1:24">
      <c r="A83" s="6">
        <v>2098</v>
      </c>
      <c r="B83" s="7">
        <v>5700</v>
      </c>
      <c r="C83" s="7">
        <v>130</v>
      </c>
      <c r="D83" s="7">
        <v>0</v>
      </c>
      <c r="E83" s="9">
        <v>0</v>
      </c>
      <c r="F83" s="9">
        <v>5.0041340667122451</v>
      </c>
      <c r="G83" s="7">
        <v>3.810378673994739E-3</v>
      </c>
      <c r="H83" s="7">
        <v>-54.383357980400682</v>
      </c>
      <c r="I83" s="7">
        <v>-1.033323075</v>
      </c>
      <c r="J83" s="7">
        <v>-0.12629806259635165</v>
      </c>
      <c r="K83" s="7">
        <v>-694.21048167292929</v>
      </c>
      <c r="L83" s="7">
        <v>-1.033323075</v>
      </c>
      <c r="M83" s="7">
        <v>-0.12629806259635165</v>
      </c>
      <c r="N83" s="7">
        <v>-775.07579038609106</v>
      </c>
      <c r="O83" s="7">
        <v>0</v>
      </c>
      <c r="P83" s="7"/>
      <c r="Q83" s="7"/>
      <c r="R83" s="7"/>
      <c r="S83" s="7"/>
      <c r="T83" s="7"/>
      <c r="U83" s="7"/>
      <c r="V83" s="7"/>
      <c r="W83" s="7"/>
      <c r="X83" s="7"/>
    </row>
    <row r="84" spans="1:24">
      <c r="A84" s="6">
        <v>2099</v>
      </c>
      <c r="B84" s="7">
        <v>5700</v>
      </c>
      <c r="C84" s="7">
        <v>130</v>
      </c>
      <c r="D84" s="7">
        <v>0</v>
      </c>
      <c r="E84" s="9">
        <v>0</v>
      </c>
      <c r="F84" s="9">
        <v>5.0041340667122451</v>
      </c>
      <c r="G84" s="7">
        <v>3.810378673994739E-3</v>
      </c>
      <c r="H84" s="7">
        <v>-54.383357980400682</v>
      </c>
      <c r="I84" s="7">
        <v>-1.033323075</v>
      </c>
      <c r="J84" s="7">
        <v>-0.12629806259635165</v>
      </c>
      <c r="K84" s="7">
        <v>-694.21048167292929</v>
      </c>
      <c r="L84" s="7">
        <v>-1.033323075</v>
      </c>
      <c r="M84" s="7">
        <v>-0.12629806259635165</v>
      </c>
      <c r="N84" s="7">
        <v>-775.07579038609106</v>
      </c>
      <c r="O84" s="7">
        <v>0</v>
      </c>
      <c r="P84" s="7"/>
      <c r="Q84" s="7"/>
      <c r="R84" s="7"/>
      <c r="S84" s="7"/>
      <c r="T84" s="7"/>
      <c r="U84" s="7"/>
      <c r="V84" s="7"/>
      <c r="W84" s="7"/>
      <c r="X84" s="7"/>
    </row>
    <row r="85" spans="1:24">
      <c r="A85" s="6">
        <v>2100</v>
      </c>
      <c r="B85" s="7">
        <v>5700</v>
      </c>
      <c r="C85" s="7">
        <v>130</v>
      </c>
      <c r="D85" s="7">
        <v>0</v>
      </c>
      <c r="E85" s="9">
        <v>0</v>
      </c>
      <c r="F85" s="9">
        <v>5.0041340667122451</v>
      </c>
      <c r="G85" s="7">
        <v>3.810378673994739E-3</v>
      </c>
      <c r="H85" s="7">
        <v>-54.383357980400682</v>
      </c>
      <c r="I85" s="7">
        <v>-1.033323075</v>
      </c>
      <c r="J85" s="7">
        <v>-0.12629806259635165</v>
      </c>
      <c r="K85" s="7">
        <v>-694.21048167292929</v>
      </c>
      <c r="L85" s="7">
        <v>-1.033323075</v>
      </c>
      <c r="M85" s="7">
        <v>-0.12629806259635165</v>
      </c>
      <c r="N85" s="7">
        <v>-775.07579038609106</v>
      </c>
      <c r="O85" s="7">
        <v>0</v>
      </c>
      <c r="P85" s="7"/>
      <c r="Q85" s="7"/>
      <c r="R85" s="7"/>
      <c r="S85" s="7"/>
      <c r="T85" s="7"/>
      <c r="U85" s="7"/>
      <c r="V85" s="7"/>
      <c r="W85" s="7"/>
      <c r="X8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36405-4481-4BAF-9772-C50480C7C417}">
  <dimension ref="A1:S86"/>
  <sheetViews>
    <sheetView workbookViewId="0">
      <selection activeCell="P35" sqref="P35"/>
    </sheetView>
  </sheetViews>
  <sheetFormatPr defaultRowHeight="15"/>
  <sheetData>
    <row r="1" spans="1:19" ht="45.75" customHeight="1">
      <c r="A1" s="13" t="s">
        <v>0</v>
      </c>
      <c r="B1" s="14" t="s">
        <v>31</v>
      </c>
      <c r="C1" s="14" t="s">
        <v>43</v>
      </c>
      <c r="D1" s="15" t="s">
        <v>1</v>
      </c>
      <c r="E1" s="15" t="s">
        <v>2</v>
      </c>
      <c r="F1" s="15" t="s">
        <v>32</v>
      </c>
      <c r="G1" s="15" t="s">
        <v>33</v>
      </c>
      <c r="H1" s="15" t="s">
        <v>44</v>
      </c>
      <c r="I1" s="15" t="s">
        <v>45</v>
      </c>
      <c r="J1" s="15" t="s">
        <v>46</v>
      </c>
      <c r="K1" s="15" t="s">
        <v>47</v>
      </c>
      <c r="L1" s="16" t="s">
        <v>48</v>
      </c>
      <c r="M1" s="16" t="s">
        <v>48</v>
      </c>
      <c r="N1" s="17" t="s">
        <v>7</v>
      </c>
      <c r="O1" s="17" t="s">
        <v>7</v>
      </c>
      <c r="P1" s="18"/>
      <c r="Q1" s="18"/>
      <c r="R1" s="18"/>
      <c r="S1" s="18"/>
    </row>
    <row r="2" spans="1:19">
      <c r="A2" s="13" t="s">
        <v>20</v>
      </c>
      <c r="B2" s="18" t="s">
        <v>17</v>
      </c>
      <c r="C2" s="18" t="s">
        <v>17</v>
      </c>
      <c r="D2" s="18" t="s">
        <v>17</v>
      </c>
      <c r="E2" s="18" t="s">
        <v>17</v>
      </c>
      <c r="F2" s="18" t="s">
        <v>17</v>
      </c>
      <c r="G2" s="18" t="s">
        <v>17</v>
      </c>
      <c r="H2" s="18" t="s">
        <v>17</v>
      </c>
      <c r="I2" s="18" t="s">
        <v>17</v>
      </c>
      <c r="J2" s="18" t="s">
        <v>17</v>
      </c>
      <c r="K2" s="18" t="s">
        <v>17</v>
      </c>
      <c r="L2" s="24" t="s">
        <v>21</v>
      </c>
      <c r="M2" s="24" t="s">
        <v>22</v>
      </c>
      <c r="N2" s="24" t="s">
        <v>21</v>
      </c>
      <c r="O2" s="24" t="s">
        <v>22</v>
      </c>
      <c r="P2" s="18"/>
      <c r="Q2" s="18"/>
      <c r="R2" s="18"/>
      <c r="S2" s="18"/>
    </row>
    <row r="3" spans="1:19">
      <c r="A3" s="19" t="s">
        <v>11</v>
      </c>
      <c r="B3" s="20" t="s">
        <v>39</v>
      </c>
      <c r="C3" s="20" t="s">
        <v>41</v>
      </c>
      <c r="D3" s="21" t="s">
        <v>40</v>
      </c>
      <c r="E3" s="21" t="s">
        <v>40</v>
      </c>
      <c r="F3" s="22" t="s">
        <v>41</v>
      </c>
      <c r="G3" s="22" t="s">
        <v>41</v>
      </c>
      <c r="H3" s="22" t="s">
        <v>41</v>
      </c>
      <c r="I3" s="22" t="s">
        <v>41</v>
      </c>
      <c r="J3" s="22" t="s">
        <v>41</v>
      </c>
      <c r="K3" s="22" t="s">
        <v>41</v>
      </c>
      <c r="L3" s="22" t="s">
        <v>41</v>
      </c>
      <c r="M3" s="22" t="s">
        <v>41</v>
      </c>
      <c r="N3" s="22" t="s">
        <v>49</v>
      </c>
      <c r="O3" s="22" t="s">
        <v>49</v>
      </c>
      <c r="P3" s="23"/>
      <c r="Q3" s="23"/>
      <c r="R3" s="23"/>
      <c r="S3" s="23"/>
    </row>
    <row r="4" spans="1:19">
      <c r="A4" s="13" t="s">
        <v>23</v>
      </c>
      <c r="B4" s="18"/>
      <c r="C4" s="18"/>
      <c r="D4" s="15"/>
      <c r="E4" s="15"/>
      <c r="F4" s="15"/>
      <c r="G4" s="15"/>
      <c r="H4" s="15"/>
      <c r="I4" s="15"/>
      <c r="J4" s="15"/>
      <c r="K4" s="15"/>
      <c r="L4" s="25"/>
      <c r="M4" s="25"/>
      <c r="N4" s="25"/>
      <c r="O4" s="25"/>
      <c r="P4" s="18"/>
      <c r="Q4" s="18"/>
      <c r="R4" s="18"/>
      <c r="S4" s="18"/>
    </row>
    <row r="5" spans="1:19">
      <c r="A5" s="20">
        <v>2020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17"/>
      <c r="Q5" s="17"/>
      <c r="R5" s="23"/>
      <c r="S5" s="23"/>
    </row>
    <row r="6" spans="1:19">
      <c r="A6" s="20">
        <v>2021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3"/>
      <c r="Q6" s="23"/>
      <c r="R6" s="23"/>
      <c r="S6" s="23"/>
    </row>
    <row r="7" spans="1:19">
      <c r="A7" s="20">
        <v>2022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3"/>
      <c r="Q7" s="23"/>
      <c r="R7" s="23"/>
      <c r="S7" s="23"/>
    </row>
    <row r="8" spans="1:19">
      <c r="A8" s="20">
        <v>2023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26">
        <v>0</v>
      </c>
      <c r="M8" s="26">
        <v>0</v>
      </c>
      <c r="N8" s="26">
        <v>0</v>
      </c>
      <c r="O8" s="26">
        <v>0</v>
      </c>
      <c r="P8" s="23"/>
      <c r="Q8" s="23"/>
      <c r="R8" s="23"/>
      <c r="S8" s="23"/>
    </row>
    <row r="9" spans="1:19">
      <c r="A9" s="20">
        <v>2024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3"/>
      <c r="Q9" s="23"/>
      <c r="R9" s="23"/>
      <c r="S9" s="23"/>
    </row>
    <row r="10" spans="1:19">
      <c r="A10" s="20">
        <v>2025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3"/>
      <c r="Q10" s="23"/>
      <c r="R10" s="23"/>
      <c r="S10" s="23"/>
    </row>
    <row r="11" spans="1:19">
      <c r="A11" s="20">
        <v>2026</v>
      </c>
      <c r="B11" s="26">
        <v>0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3"/>
      <c r="Q11" s="23"/>
      <c r="R11" s="23"/>
      <c r="S11" s="23"/>
    </row>
    <row r="12" spans="1:19">
      <c r="A12" s="20">
        <v>2027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3"/>
      <c r="Q12" s="23"/>
      <c r="R12" s="23"/>
      <c r="S12" s="23"/>
    </row>
    <row r="13" spans="1:19">
      <c r="A13" s="20">
        <v>2028</v>
      </c>
      <c r="B13" s="26">
        <v>0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3"/>
      <c r="Q13" s="23"/>
      <c r="R13" s="23"/>
      <c r="S13" s="23"/>
    </row>
    <row r="14" spans="1:19">
      <c r="A14" s="20">
        <v>2029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3"/>
      <c r="Q14" s="23"/>
      <c r="R14" s="23"/>
      <c r="S14" s="23"/>
    </row>
    <row r="15" spans="1:19">
      <c r="A15" s="20">
        <v>2030</v>
      </c>
      <c r="B15" s="26">
        <f>B20/6</f>
        <v>166.66666666666666</v>
      </c>
      <c r="C15" s="26">
        <f t="shared" ref="C15:O15" si="0">C20/6</f>
        <v>52.5</v>
      </c>
      <c r="D15" s="26">
        <f t="shared" si="0"/>
        <v>5.833333333333333</v>
      </c>
      <c r="E15" s="26">
        <f t="shared" si="0"/>
        <v>0</v>
      </c>
      <c r="F15" s="26">
        <v>0</v>
      </c>
      <c r="G15" s="27">
        <f t="shared" si="0"/>
        <v>0.53</v>
      </c>
      <c r="H15" s="27">
        <f t="shared" si="0"/>
        <v>0.02</v>
      </c>
      <c r="I15" s="27">
        <f t="shared" si="0"/>
        <v>4.6666666666666669E-2</v>
      </c>
      <c r="J15" s="27">
        <f t="shared" si="0"/>
        <v>6.3333333333333339E-2</v>
      </c>
      <c r="K15" s="27">
        <f t="shared" si="0"/>
        <v>1.6666666666666668E-3</v>
      </c>
      <c r="L15" s="26">
        <f>M15</f>
        <v>-33.833333333333336</v>
      </c>
      <c r="M15" s="26">
        <f t="shared" si="0"/>
        <v>-33.833333333333336</v>
      </c>
      <c r="N15" s="26">
        <v>0</v>
      </c>
      <c r="O15" s="26">
        <f t="shared" si="0"/>
        <v>0</v>
      </c>
      <c r="P15" s="23"/>
      <c r="Q15" s="23"/>
      <c r="R15" s="23"/>
      <c r="S15" s="23"/>
    </row>
    <row r="16" spans="1:19">
      <c r="A16" s="20">
        <v>2031</v>
      </c>
      <c r="B16" s="26">
        <f>B15+(B$20/6)</f>
        <v>333.33333333333331</v>
      </c>
      <c r="C16" s="26">
        <f t="shared" ref="C16:O19" si="1">C15+(C$20/6)</f>
        <v>105</v>
      </c>
      <c r="D16" s="26">
        <f t="shared" si="1"/>
        <v>11.666666666666666</v>
      </c>
      <c r="E16" s="26">
        <f t="shared" si="1"/>
        <v>0</v>
      </c>
      <c r="F16" s="26">
        <v>0</v>
      </c>
      <c r="G16" s="27">
        <f t="shared" si="1"/>
        <v>1.06</v>
      </c>
      <c r="H16" s="27">
        <f t="shared" si="1"/>
        <v>0.04</v>
      </c>
      <c r="I16" s="27">
        <f t="shared" si="1"/>
        <v>9.3333333333333338E-2</v>
      </c>
      <c r="J16" s="27">
        <f t="shared" si="1"/>
        <v>0.12666666666666668</v>
      </c>
      <c r="K16" s="27">
        <f t="shared" si="1"/>
        <v>3.3333333333333335E-3</v>
      </c>
      <c r="L16" s="26">
        <f t="shared" ref="L16:L19" si="2">M16</f>
        <v>-67.666666666666671</v>
      </c>
      <c r="M16" s="26">
        <f t="shared" si="1"/>
        <v>-67.666666666666671</v>
      </c>
      <c r="N16" s="26">
        <v>0</v>
      </c>
      <c r="O16" s="26">
        <f t="shared" si="1"/>
        <v>0</v>
      </c>
      <c r="P16" s="23"/>
      <c r="Q16" s="23"/>
      <c r="R16" s="23"/>
      <c r="S16" s="23"/>
    </row>
    <row r="17" spans="1:19">
      <c r="A17" s="20">
        <v>2032</v>
      </c>
      <c r="B17" s="26">
        <f t="shared" ref="B17:B19" si="3">B16+(B$20/6)</f>
        <v>500</v>
      </c>
      <c r="C17" s="26">
        <f t="shared" si="1"/>
        <v>157.5</v>
      </c>
      <c r="D17" s="26">
        <f t="shared" si="1"/>
        <v>17.5</v>
      </c>
      <c r="E17" s="26">
        <f t="shared" si="1"/>
        <v>0</v>
      </c>
      <c r="F17" s="26">
        <v>0</v>
      </c>
      <c r="G17" s="27">
        <f t="shared" si="1"/>
        <v>1.59</v>
      </c>
      <c r="H17" s="27">
        <f t="shared" si="1"/>
        <v>0.06</v>
      </c>
      <c r="I17" s="27">
        <f t="shared" si="1"/>
        <v>0.14000000000000001</v>
      </c>
      <c r="J17" s="27">
        <f t="shared" si="1"/>
        <v>0.19</v>
      </c>
      <c r="K17" s="27">
        <f t="shared" si="1"/>
        <v>5.0000000000000001E-3</v>
      </c>
      <c r="L17" s="26">
        <f t="shared" si="2"/>
        <v>-101.5</v>
      </c>
      <c r="M17" s="26">
        <f t="shared" si="1"/>
        <v>-101.5</v>
      </c>
      <c r="N17" s="26">
        <v>0</v>
      </c>
      <c r="O17" s="26">
        <f t="shared" si="1"/>
        <v>0</v>
      </c>
      <c r="P17" s="23"/>
      <c r="Q17" s="23"/>
      <c r="R17" s="23"/>
      <c r="S17" s="23"/>
    </row>
    <row r="18" spans="1:19">
      <c r="A18" s="20">
        <v>2033</v>
      </c>
      <c r="B18" s="26">
        <f t="shared" si="3"/>
        <v>666.66666666666663</v>
      </c>
      <c r="C18" s="26">
        <f t="shared" si="1"/>
        <v>210</v>
      </c>
      <c r="D18" s="26">
        <f t="shared" si="1"/>
        <v>23.333333333333332</v>
      </c>
      <c r="E18" s="26">
        <f t="shared" si="1"/>
        <v>0</v>
      </c>
      <c r="F18" s="26">
        <v>0</v>
      </c>
      <c r="G18" s="27">
        <f t="shared" si="1"/>
        <v>2.12</v>
      </c>
      <c r="H18" s="27">
        <f t="shared" si="1"/>
        <v>0.08</v>
      </c>
      <c r="I18" s="27">
        <f t="shared" si="1"/>
        <v>0.18666666666666668</v>
      </c>
      <c r="J18" s="27">
        <f t="shared" si="1"/>
        <v>0.25333333333333335</v>
      </c>
      <c r="K18" s="27">
        <f t="shared" si="1"/>
        <v>6.6666666666666671E-3</v>
      </c>
      <c r="L18" s="26">
        <f t="shared" si="2"/>
        <v>-135.33333333333334</v>
      </c>
      <c r="M18" s="26">
        <f t="shared" si="1"/>
        <v>-135.33333333333334</v>
      </c>
      <c r="N18" s="26">
        <v>0</v>
      </c>
      <c r="O18" s="26">
        <f t="shared" si="1"/>
        <v>0</v>
      </c>
      <c r="P18" s="23"/>
      <c r="Q18" s="23"/>
      <c r="R18" s="23"/>
      <c r="S18" s="23"/>
    </row>
    <row r="19" spans="1:19">
      <c r="A19" s="20">
        <v>2034</v>
      </c>
      <c r="B19" s="26">
        <f t="shared" si="3"/>
        <v>833.33333333333326</v>
      </c>
      <c r="C19" s="26">
        <f t="shared" si="1"/>
        <v>262.5</v>
      </c>
      <c r="D19" s="26">
        <f t="shared" si="1"/>
        <v>29.166666666666664</v>
      </c>
      <c r="E19" s="26">
        <f t="shared" si="1"/>
        <v>0</v>
      </c>
      <c r="F19" s="26">
        <v>0</v>
      </c>
      <c r="G19" s="27">
        <f t="shared" si="1"/>
        <v>2.6500000000000004</v>
      </c>
      <c r="H19" s="27">
        <f t="shared" si="1"/>
        <v>0.1</v>
      </c>
      <c r="I19" s="27">
        <f t="shared" si="1"/>
        <v>0.23333333333333334</v>
      </c>
      <c r="J19" s="27">
        <f t="shared" si="1"/>
        <v>0.31666666666666671</v>
      </c>
      <c r="K19" s="27">
        <f t="shared" si="1"/>
        <v>8.3333333333333332E-3</v>
      </c>
      <c r="L19" s="26">
        <f t="shared" si="2"/>
        <v>-169.16666666666669</v>
      </c>
      <c r="M19" s="26">
        <f t="shared" si="1"/>
        <v>-169.16666666666669</v>
      </c>
      <c r="N19" s="26">
        <v>0</v>
      </c>
      <c r="O19" s="26">
        <f t="shared" si="1"/>
        <v>0</v>
      </c>
      <c r="P19" s="23"/>
      <c r="Q19" s="23"/>
      <c r="R19" s="23"/>
      <c r="S19" s="23"/>
    </row>
    <row r="20" spans="1:19">
      <c r="A20" s="20">
        <v>2035</v>
      </c>
      <c r="B20" s="23">
        <v>1000</v>
      </c>
      <c r="C20" s="23">
        <v>315</v>
      </c>
      <c r="D20" s="28">
        <f>C20/9</f>
        <v>35</v>
      </c>
      <c r="E20" s="28">
        <v>0</v>
      </c>
      <c r="F20" s="26">
        <v>0</v>
      </c>
      <c r="G20" s="29">
        <v>3.18</v>
      </c>
      <c r="H20" s="27">
        <v>0.12</v>
      </c>
      <c r="I20" s="27">
        <v>0.28000000000000003</v>
      </c>
      <c r="J20" s="27">
        <v>0.38</v>
      </c>
      <c r="K20" s="27">
        <v>0.01</v>
      </c>
      <c r="L20" s="30">
        <f>-203*0.97</f>
        <v>-196.91</v>
      </c>
      <c r="M20" s="30">
        <v>-203</v>
      </c>
      <c r="N20" s="28">
        <f>N49*(3/90)</f>
        <v>-9.3333333333333339</v>
      </c>
      <c r="O20" s="28">
        <v>0</v>
      </c>
      <c r="P20" s="34"/>
      <c r="Q20" s="34"/>
      <c r="R20" s="34"/>
      <c r="S20" s="23"/>
    </row>
    <row r="21" spans="1:19">
      <c r="A21" s="20">
        <v>2036</v>
      </c>
      <c r="B21" s="23">
        <f t="shared" ref="B21:E36" si="4">B20</f>
        <v>1000</v>
      </c>
      <c r="C21" s="23">
        <f>C20</f>
        <v>315</v>
      </c>
      <c r="D21" s="28">
        <f>D20</f>
        <v>35</v>
      </c>
      <c r="E21" s="28">
        <f>E20</f>
        <v>0</v>
      </c>
      <c r="F21" s="26">
        <v>0</v>
      </c>
      <c r="G21" s="29">
        <f>G20</f>
        <v>3.18</v>
      </c>
      <c r="H21" s="27">
        <f t="shared" ref="H21:K36" si="5">H20</f>
        <v>0.12</v>
      </c>
      <c r="I21" s="27">
        <f t="shared" si="5"/>
        <v>0.28000000000000003</v>
      </c>
      <c r="J21" s="27">
        <f t="shared" si="5"/>
        <v>0.38</v>
      </c>
      <c r="K21" s="27">
        <f t="shared" si="5"/>
        <v>0.01</v>
      </c>
      <c r="L21" s="28">
        <f>L20-(-183/29)</f>
        <v>-190.59965517241378</v>
      </c>
      <c r="M21" s="30">
        <f>M20</f>
        <v>-203</v>
      </c>
      <c r="N21" s="28">
        <f>N20+(N$49/30)</f>
        <v>-18.666666666666668</v>
      </c>
      <c r="O21" s="28">
        <v>0</v>
      </c>
      <c r="P21" s="23"/>
      <c r="Q21" s="23"/>
      <c r="R21" s="23"/>
      <c r="S21" s="23"/>
    </row>
    <row r="22" spans="1:19">
      <c r="A22" s="20">
        <v>2037</v>
      </c>
      <c r="B22" s="23">
        <f t="shared" si="4"/>
        <v>1000</v>
      </c>
      <c r="C22" s="23">
        <f t="shared" si="4"/>
        <v>315</v>
      </c>
      <c r="D22" s="28">
        <f t="shared" si="4"/>
        <v>35</v>
      </c>
      <c r="E22" s="28">
        <f t="shared" si="4"/>
        <v>0</v>
      </c>
      <c r="F22" s="26">
        <v>0</v>
      </c>
      <c r="G22" s="29">
        <f t="shared" ref="G22:K37" si="6">G21</f>
        <v>3.18</v>
      </c>
      <c r="H22" s="27">
        <f t="shared" si="5"/>
        <v>0.12</v>
      </c>
      <c r="I22" s="27">
        <f t="shared" si="5"/>
        <v>0.28000000000000003</v>
      </c>
      <c r="J22" s="27">
        <f t="shared" si="5"/>
        <v>0.38</v>
      </c>
      <c r="K22" s="27">
        <f t="shared" si="5"/>
        <v>0.01</v>
      </c>
      <c r="L22" s="28">
        <f t="shared" ref="L22:L48" si="7">L21-(-183/29)</f>
        <v>-184.28931034482756</v>
      </c>
      <c r="M22" s="30">
        <f t="shared" ref="M22:O37" si="8">M21</f>
        <v>-203</v>
      </c>
      <c r="N22" s="28">
        <f t="shared" ref="N22:N48" si="9">N21+(N$49/30)</f>
        <v>-28</v>
      </c>
      <c r="O22" s="28">
        <v>0</v>
      </c>
      <c r="P22" s="23"/>
      <c r="Q22" s="23"/>
      <c r="R22" s="23"/>
      <c r="S22" s="23"/>
    </row>
    <row r="23" spans="1:19">
      <c r="A23" s="20">
        <v>2038</v>
      </c>
      <c r="B23" s="23">
        <f t="shared" si="4"/>
        <v>1000</v>
      </c>
      <c r="C23" s="23">
        <f t="shared" si="4"/>
        <v>315</v>
      </c>
      <c r="D23" s="28">
        <f t="shared" si="4"/>
        <v>35</v>
      </c>
      <c r="E23" s="28">
        <f t="shared" si="4"/>
        <v>0</v>
      </c>
      <c r="F23" s="26">
        <v>0</v>
      </c>
      <c r="G23" s="29">
        <f t="shared" si="6"/>
        <v>3.18</v>
      </c>
      <c r="H23" s="27">
        <f t="shared" si="5"/>
        <v>0.12</v>
      </c>
      <c r="I23" s="27">
        <f t="shared" si="5"/>
        <v>0.28000000000000003</v>
      </c>
      <c r="J23" s="27">
        <f t="shared" si="5"/>
        <v>0.38</v>
      </c>
      <c r="K23" s="27">
        <f t="shared" si="5"/>
        <v>0.01</v>
      </c>
      <c r="L23" s="28">
        <f t="shared" si="7"/>
        <v>-177.97896551724133</v>
      </c>
      <c r="M23" s="30">
        <f t="shared" si="8"/>
        <v>-203</v>
      </c>
      <c r="N23" s="28">
        <f t="shared" si="9"/>
        <v>-37.333333333333336</v>
      </c>
      <c r="O23" s="28">
        <v>0</v>
      </c>
      <c r="P23" s="23"/>
      <c r="Q23" s="23"/>
      <c r="R23" s="23"/>
      <c r="S23" s="23"/>
    </row>
    <row r="24" spans="1:19">
      <c r="A24" s="20">
        <v>2039</v>
      </c>
      <c r="B24" s="23">
        <f t="shared" si="4"/>
        <v>1000</v>
      </c>
      <c r="C24" s="23">
        <f t="shared" si="4"/>
        <v>315</v>
      </c>
      <c r="D24" s="28">
        <f t="shared" si="4"/>
        <v>35</v>
      </c>
      <c r="E24" s="28">
        <f t="shared" si="4"/>
        <v>0</v>
      </c>
      <c r="F24" s="26">
        <v>0</v>
      </c>
      <c r="G24" s="29">
        <f t="shared" si="6"/>
        <v>3.18</v>
      </c>
      <c r="H24" s="27">
        <f t="shared" si="5"/>
        <v>0.12</v>
      </c>
      <c r="I24" s="27">
        <f t="shared" si="5"/>
        <v>0.28000000000000003</v>
      </c>
      <c r="J24" s="27">
        <f t="shared" si="5"/>
        <v>0.38</v>
      </c>
      <c r="K24" s="27">
        <f t="shared" si="5"/>
        <v>0.01</v>
      </c>
      <c r="L24" s="28">
        <f t="shared" si="7"/>
        <v>-171.66862068965511</v>
      </c>
      <c r="M24" s="30">
        <f t="shared" si="8"/>
        <v>-203</v>
      </c>
      <c r="N24" s="28">
        <f t="shared" si="9"/>
        <v>-46.666666666666671</v>
      </c>
      <c r="O24" s="28">
        <v>0</v>
      </c>
      <c r="P24" s="23"/>
      <c r="Q24" s="23"/>
      <c r="R24" s="23"/>
      <c r="S24" s="23"/>
    </row>
    <row r="25" spans="1:19">
      <c r="A25" s="20">
        <v>2040</v>
      </c>
      <c r="B25" s="23">
        <f t="shared" si="4"/>
        <v>1000</v>
      </c>
      <c r="C25" s="23">
        <f t="shared" si="4"/>
        <v>315</v>
      </c>
      <c r="D25" s="28">
        <f t="shared" si="4"/>
        <v>35</v>
      </c>
      <c r="E25" s="28">
        <f t="shared" si="4"/>
        <v>0</v>
      </c>
      <c r="F25" s="26">
        <v>0</v>
      </c>
      <c r="G25" s="29">
        <f t="shared" si="6"/>
        <v>3.18</v>
      </c>
      <c r="H25" s="27">
        <f t="shared" si="5"/>
        <v>0.12</v>
      </c>
      <c r="I25" s="27">
        <f t="shared" si="5"/>
        <v>0.28000000000000003</v>
      </c>
      <c r="J25" s="27">
        <f t="shared" si="5"/>
        <v>0.38</v>
      </c>
      <c r="K25" s="27">
        <f t="shared" si="5"/>
        <v>0.01</v>
      </c>
      <c r="L25" s="28">
        <f t="shared" si="7"/>
        <v>-165.35827586206889</v>
      </c>
      <c r="M25" s="30">
        <f t="shared" si="8"/>
        <v>-203</v>
      </c>
      <c r="N25" s="28">
        <f t="shared" si="9"/>
        <v>-56.000000000000007</v>
      </c>
      <c r="O25" s="28">
        <v>0</v>
      </c>
      <c r="P25" s="23"/>
      <c r="Q25" s="23"/>
      <c r="R25" s="23"/>
      <c r="S25" s="23"/>
    </row>
    <row r="26" spans="1:19">
      <c r="A26" s="20">
        <v>2041</v>
      </c>
      <c r="B26" s="23">
        <f t="shared" si="4"/>
        <v>1000</v>
      </c>
      <c r="C26" s="23">
        <f t="shared" si="4"/>
        <v>315</v>
      </c>
      <c r="D26" s="28">
        <f t="shared" si="4"/>
        <v>35</v>
      </c>
      <c r="E26" s="28">
        <f t="shared" si="4"/>
        <v>0</v>
      </c>
      <c r="F26" s="26">
        <v>0</v>
      </c>
      <c r="G26" s="29">
        <f t="shared" si="6"/>
        <v>3.18</v>
      </c>
      <c r="H26" s="27">
        <f t="shared" si="5"/>
        <v>0.12</v>
      </c>
      <c r="I26" s="27">
        <f t="shared" si="5"/>
        <v>0.28000000000000003</v>
      </c>
      <c r="J26" s="27">
        <f t="shared" si="5"/>
        <v>0.38</v>
      </c>
      <c r="K26" s="27">
        <f t="shared" si="5"/>
        <v>0.01</v>
      </c>
      <c r="L26" s="28">
        <f t="shared" si="7"/>
        <v>-159.04793103448267</v>
      </c>
      <c r="M26" s="30">
        <f t="shared" si="8"/>
        <v>-203</v>
      </c>
      <c r="N26" s="28">
        <f t="shared" si="9"/>
        <v>-65.333333333333343</v>
      </c>
      <c r="O26" s="28">
        <v>0</v>
      </c>
      <c r="P26" s="23"/>
      <c r="Q26" s="23"/>
      <c r="R26" s="23"/>
      <c r="S26" s="23"/>
    </row>
    <row r="27" spans="1:19">
      <c r="A27" s="20">
        <v>2042</v>
      </c>
      <c r="B27" s="23">
        <f t="shared" si="4"/>
        <v>1000</v>
      </c>
      <c r="C27" s="23">
        <f t="shared" si="4"/>
        <v>315</v>
      </c>
      <c r="D27" s="28">
        <f t="shared" si="4"/>
        <v>35</v>
      </c>
      <c r="E27" s="28">
        <f t="shared" si="4"/>
        <v>0</v>
      </c>
      <c r="F27" s="26">
        <v>0</v>
      </c>
      <c r="G27" s="29">
        <f t="shared" si="6"/>
        <v>3.18</v>
      </c>
      <c r="H27" s="27">
        <f t="shared" si="5"/>
        <v>0.12</v>
      </c>
      <c r="I27" s="27">
        <f t="shared" si="5"/>
        <v>0.28000000000000003</v>
      </c>
      <c r="J27" s="27">
        <f t="shared" si="5"/>
        <v>0.38</v>
      </c>
      <c r="K27" s="27">
        <f t="shared" si="5"/>
        <v>0.01</v>
      </c>
      <c r="L27" s="28">
        <f t="shared" si="7"/>
        <v>-152.73758620689645</v>
      </c>
      <c r="M27" s="30">
        <f t="shared" si="8"/>
        <v>-203</v>
      </c>
      <c r="N27" s="28">
        <f t="shared" si="9"/>
        <v>-74.666666666666671</v>
      </c>
      <c r="O27" s="28">
        <v>0</v>
      </c>
      <c r="P27" s="23"/>
      <c r="Q27" s="23"/>
      <c r="R27" s="23"/>
      <c r="S27" s="23"/>
    </row>
    <row r="28" spans="1:19">
      <c r="A28" s="20">
        <v>2043</v>
      </c>
      <c r="B28" s="23">
        <f t="shared" si="4"/>
        <v>1000</v>
      </c>
      <c r="C28" s="23">
        <f t="shared" si="4"/>
        <v>315</v>
      </c>
      <c r="D28" s="28">
        <f t="shared" si="4"/>
        <v>35</v>
      </c>
      <c r="E28" s="28">
        <f t="shared" si="4"/>
        <v>0</v>
      </c>
      <c r="F28" s="26">
        <v>0</v>
      </c>
      <c r="G28" s="29">
        <f t="shared" si="6"/>
        <v>3.18</v>
      </c>
      <c r="H28" s="27">
        <f t="shared" si="5"/>
        <v>0.12</v>
      </c>
      <c r="I28" s="27">
        <f t="shared" si="5"/>
        <v>0.28000000000000003</v>
      </c>
      <c r="J28" s="27">
        <f t="shared" si="5"/>
        <v>0.38</v>
      </c>
      <c r="K28" s="27">
        <f t="shared" si="5"/>
        <v>0.01</v>
      </c>
      <c r="L28" s="28">
        <f t="shared" si="7"/>
        <v>-146.42724137931023</v>
      </c>
      <c r="M28" s="30">
        <f t="shared" si="8"/>
        <v>-203</v>
      </c>
      <c r="N28" s="28">
        <f t="shared" si="9"/>
        <v>-84</v>
      </c>
      <c r="O28" s="28">
        <v>0</v>
      </c>
      <c r="P28" s="23"/>
      <c r="Q28" s="23"/>
      <c r="R28" s="23"/>
      <c r="S28" s="23"/>
    </row>
    <row r="29" spans="1:19">
      <c r="A29" s="20">
        <v>2044</v>
      </c>
      <c r="B29" s="23">
        <f t="shared" si="4"/>
        <v>1000</v>
      </c>
      <c r="C29" s="23">
        <f t="shared" si="4"/>
        <v>315</v>
      </c>
      <c r="D29" s="28">
        <f t="shared" si="4"/>
        <v>35</v>
      </c>
      <c r="E29" s="28">
        <f t="shared" si="4"/>
        <v>0</v>
      </c>
      <c r="F29" s="26">
        <v>0</v>
      </c>
      <c r="G29" s="29">
        <f t="shared" si="6"/>
        <v>3.18</v>
      </c>
      <c r="H29" s="27">
        <f t="shared" si="5"/>
        <v>0.12</v>
      </c>
      <c r="I29" s="27">
        <f t="shared" si="5"/>
        <v>0.28000000000000003</v>
      </c>
      <c r="J29" s="27">
        <f t="shared" si="5"/>
        <v>0.38</v>
      </c>
      <c r="K29" s="27">
        <f t="shared" si="5"/>
        <v>0.01</v>
      </c>
      <c r="L29" s="28">
        <f t="shared" si="7"/>
        <v>-140.11689655172401</v>
      </c>
      <c r="M29" s="30">
        <f t="shared" si="8"/>
        <v>-203</v>
      </c>
      <c r="N29" s="28">
        <f t="shared" si="9"/>
        <v>-93.333333333333329</v>
      </c>
      <c r="O29" s="28">
        <v>0</v>
      </c>
      <c r="P29" s="23"/>
      <c r="Q29" s="23"/>
      <c r="R29" s="23"/>
      <c r="S29" s="23"/>
    </row>
    <row r="30" spans="1:19">
      <c r="A30" s="20">
        <v>2045</v>
      </c>
      <c r="B30" s="23">
        <f t="shared" si="4"/>
        <v>1000</v>
      </c>
      <c r="C30" s="23">
        <f t="shared" si="4"/>
        <v>315</v>
      </c>
      <c r="D30" s="28">
        <f t="shared" si="4"/>
        <v>35</v>
      </c>
      <c r="E30" s="28">
        <f t="shared" si="4"/>
        <v>0</v>
      </c>
      <c r="F30" s="26">
        <v>0</v>
      </c>
      <c r="G30" s="29">
        <f t="shared" si="6"/>
        <v>3.18</v>
      </c>
      <c r="H30" s="27">
        <f t="shared" si="5"/>
        <v>0.12</v>
      </c>
      <c r="I30" s="27">
        <f t="shared" si="5"/>
        <v>0.28000000000000003</v>
      </c>
      <c r="J30" s="27">
        <f t="shared" si="5"/>
        <v>0.38</v>
      </c>
      <c r="K30" s="27">
        <f t="shared" si="5"/>
        <v>0.01</v>
      </c>
      <c r="L30" s="28">
        <f t="shared" si="7"/>
        <v>-133.80655172413779</v>
      </c>
      <c r="M30" s="30">
        <f t="shared" si="8"/>
        <v>-203</v>
      </c>
      <c r="N30" s="28">
        <f t="shared" si="9"/>
        <v>-102.66666666666666</v>
      </c>
      <c r="O30" s="28">
        <v>0</v>
      </c>
      <c r="P30" s="23"/>
      <c r="Q30" s="23"/>
      <c r="R30" s="23"/>
      <c r="S30" s="23"/>
    </row>
    <row r="31" spans="1:19">
      <c r="A31" s="20">
        <v>2046</v>
      </c>
      <c r="B31" s="23">
        <f t="shared" si="4"/>
        <v>1000</v>
      </c>
      <c r="C31" s="23">
        <f t="shared" si="4"/>
        <v>315</v>
      </c>
      <c r="D31" s="28">
        <f t="shared" si="4"/>
        <v>35</v>
      </c>
      <c r="E31" s="28">
        <f t="shared" si="4"/>
        <v>0</v>
      </c>
      <c r="F31" s="26">
        <v>0</v>
      </c>
      <c r="G31" s="29">
        <f t="shared" si="6"/>
        <v>3.18</v>
      </c>
      <c r="H31" s="27">
        <f t="shared" si="5"/>
        <v>0.12</v>
      </c>
      <c r="I31" s="27">
        <f t="shared" si="5"/>
        <v>0.28000000000000003</v>
      </c>
      <c r="J31" s="27">
        <f t="shared" si="5"/>
        <v>0.38</v>
      </c>
      <c r="K31" s="27">
        <f t="shared" si="5"/>
        <v>0.01</v>
      </c>
      <c r="L31" s="28">
        <f t="shared" si="7"/>
        <v>-127.49620689655158</v>
      </c>
      <c r="M31" s="30">
        <f t="shared" si="8"/>
        <v>-203</v>
      </c>
      <c r="N31" s="28">
        <f t="shared" si="9"/>
        <v>-111.99999999999999</v>
      </c>
      <c r="O31" s="28">
        <v>0</v>
      </c>
      <c r="P31" s="23"/>
      <c r="Q31" s="23"/>
      <c r="R31" s="23"/>
      <c r="S31" s="23"/>
    </row>
    <row r="32" spans="1:19">
      <c r="A32" s="20">
        <v>2047</v>
      </c>
      <c r="B32" s="23">
        <f t="shared" si="4"/>
        <v>1000</v>
      </c>
      <c r="C32" s="23">
        <f t="shared" si="4"/>
        <v>315</v>
      </c>
      <c r="D32" s="28">
        <f t="shared" si="4"/>
        <v>35</v>
      </c>
      <c r="E32" s="28">
        <f t="shared" si="4"/>
        <v>0</v>
      </c>
      <c r="F32" s="26">
        <v>0</v>
      </c>
      <c r="G32" s="29">
        <f t="shared" si="6"/>
        <v>3.18</v>
      </c>
      <c r="H32" s="27">
        <f t="shared" si="5"/>
        <v>0.12</v>
      </c>
      <c r="I32" s="27">
        <f t="shared" si="5"/>
        <v>0.28000000000000003</v>
      </c>
      <c r="J32" s="27">
        <f t="shared" si="5"/>
        <v>0.38</v>
      </c>
      <c r="K32" s="27">
        <f t="shared" si="5"/>
        <v>0.01</v>
      </c>
      <c r="L32" s="28">
        <f t="shared" si="7"/>
        <v>-121.18586206896538</v>
      </c>
      <c r="M32" s="30">
        <f t="shared" si="8"/>
        <v>-203</v>
      </c>
      <c r="N32" s="28">
        <f t="shared" si="9"/>
        <v>-121.33333333333331</v>
      </c>
      <c r="O32" s="28">
        <v>0</v>
      </c>
      <c r="P32" s="23"/>
      <c r="Q32" s="23"/>
      <c r="R32" s="23"/>
      <c r="S32" s="23"/>
    </row>
    <row r="33" spans="1:19">
      <c r="A33" s="20">
        <v>2048</v>
      </c>
      <c r="B33" s="23">
        <f t="shared" si="4"/>
        <v>1000</v>
      </c>
      <c r="C33" s="23">
        <f t="shared" si="4"/>
        <v>315</v>
      </c>
      <c r="D33" s="28">
        <f t="shared" si="4"/>
        <v>35</v>
      </c>
      <c r="E33" s="28">
        <f t="shared" si="4"/>
        <v>0</v>
      </c>
      <c r="F33" s="26">
        <v>0</v>
      </c>
      <c r="G33" s="29">
        <f t="shared" si="6"/>
        <v>3.18</v>
      </c>
      <c r="H33" s="27">
        <f t="shared" si="5"/>
        <v>0.12</v>
      </c>
      <c r="I33" s="27">
        <f t="shared" si="5"/>
        <v>0.28000000000000003</v>
      </c>
      <c r="J33" s="27">
        <f t="shared" si="5"/>
        <v>0.38</v>
      </c>
      <c r="K33" s="27">
        <f t="shared" si="5"/>
        <v>0.01</v>
      </c>
      <c r="L33" s="28">
        <f t="shared" si="7"/>
        <v>-114.87551724137917</v>
      </c>
      <c r="M33" s="30">
        <f t="shared" si="8"/>
        <v>-203</v>
      </c>
      <c r="N33" s="28">
        <f t="shared" si="9"/>
        <v>-130.66666666666666</v>
      </c>
      <c r="O33" s="28">
        <v>0</v>
      </c>
      <c r="P33" s="23"/>
      <c r="Q33" s="23"/>
      <c r="R33" s="23"/>
      <c r="S33" s="23"/>
    </row>
    <row r="34" spans="1:19">
      <c r="A34" s="20">
        <v>2049</v>
      </c>
      <c r="B34" s="23">
        <f t="shared" si="4"/>
        <v>1000</v>
      </c>
      <c r="C34" s="23">
        <f t="shared" si="4"/>
        <v>315</v>
      </c>
      <c r="D34" s="28">
        <f t="shared" si="4"/>
        <v>35</v>
      </c>
      <c r="E34" s="28">
        <f t="shared" si="4"/>
        <v>0</v>
      </c>
      <c r="F34" s="26">
        <v>0</v>
      </c>
      <c r="G34" s="29">
        <f t="shared" si="6"/>
        <v>3.18</v>
      </c>
      <c r="H34" s="27">
        <f t="shared" si="5"/>
        <v>0.12</v>
      </c>
      <c r="I34" s="27">
        <f t="shared" si="5"/>
        <v>0.28000000000000003</v>
      </c>
      <c r="J34" s="27">
        <f t="shared" si="5"/>
        <v>0.38</v>
      </c>
      <c r="K34" s="27">
        <f t="shared" si="5"/>
        <v>0.01</v>
      </c>
      <c r="L34" s="28">
        <f t="shared" si="7"/>
        <v>-108.56517241379296</v>
      </c>
      <c r="M34" s="30">
        <f t="shared" si="8"/>
        <v>-203</v>
      </c>
      <c r="N34" s="28">
        <f t="shared" si="9"/>
        <v>-140</v>
      </c>
      <c r="O34" s="28">
        <v>0</v>
      </c>
      <c r="P34" s="23"/>
      <c r="Q34" s="23"/>
      <c r="R34" s="23"/>
      <c r="S34" s="23"/>
    </row>
    <row r="35" spans="1:19">
      <c r="A35" s="20">
        <v>2050</v>
      </c>
      <c r="B35" s="23">
        <f t="shared" si="4"/>
        <v>1000</v>
      </c>
      <c r="C35" s="23">
        <f t="shared" si="4"/>
        <v>315</v>
      </c>
      <c r="D35" s="28">
        <f t="shared" si="4"/>
        <v>35</v>
      </c>
      <c r="E35" s="28">
        <f t="shared" si="4"/>
        <v>0</v>
      </c>
      <c r="F35" s="26">
        <v>0</v>
      </c>
      <c r="G35" s="29">
        <f t="shared" si="6"/>
        <v>3.18</v>
      </c>
      <c r="H35" s="27">
        <f t="shared" si="5"/>
        <v>0.12</v>
      </c>
      <c r="I35" s="27">
        <f t="shared" si="5"/>
        <v>0.28000000000000003</v>
      </c>
      <c r="J35" s="27">
        <f t="shared" si="5"/>
        <v>0.38</v>
      </c>
      <c r="K35" s="27">
        <f t="shared" si="5"/>
        <v>0.01</v>
      </c>
      <c r="L35" s="28">
        <f t="shared" si="7"/>
        <v>-102.25482758620676</v>
      </c>
      <c r="M35" s="30">
        <f t="shared" si="8"/>
        <v>-203</v>
      </c>
      <c r="N35" s="28">
        <f t="shared" si="9"/>
        <v>-149.33333333333334</v>
      </c>
      <c r="O35" s="28">
        <v>0</v>
      </c>
      <c r="P35" s="23"/>
      <c r="Q35" s="23"/>
      <c r="R35" s="23"/>
      <c r="S35" s="23"/>
    </row>
    <row r="36" spans="1:19">
      <c r="A36" s="20">
        <v>2051</v>
      </c>
      <c r="B36" s="23">
        <f t="shared" si="4"/>
        <v>1000</v>
      </c>
      <c r="C36" s="23">
        <f t="shared" si="4"/>
        <v>315</v>
      </c>
      <c r="D36" s="28">
        <f t="shared" si="4"/>
        <v>35</v>
      </c>
      <c r="E36" s="28">
        <f t="shared" si="4"/>
        <v>0</v>
      </c>
      <c r="F36" s="26">
        <v>0</v>
      </c>
      <c r="G36" s="29">
        <f t="shared" si="6"/>
        <v>3.18</v>
      </c>
      <c r="H36" s="27">
        <f t="shared" si="5"/>
        <v>0.12</v>
      </c>
      <c r="I36" s="27">
        <f t="shared" si="5"/>
        <v>0.28000000000000003</v>
      </c>
      <c r="J36" s="27">
        <f t="shared" si="5"/>
        <v>0.38</v>
      </c>
      <c r="K36" s="27">
        <f t="shared" si="5"/>
        <v>0.01</v>
      </c>
      <c r="L36" s="28">
        <f t="shared" si="7"/>
        <v>-95.944482758620552</v>
      </c>
      <c r="M36" s="30">
        <f t="shared" si="8"/>
        <v>-203</v>
      </c>
      <c r="N36" s="28">
        <f t="shared" si="9"/>
        <v>-158.66666666666669</v>
      </c>
      <c r="O36" s="28">
        <v>0</v>
      </c>
      <c r="P36" s="23"/>
      <c r="Q36" s="23"/>
      <c r="R36" s="23"/>
      <c r="S36" s="23"/>
    </row>
    <row r="37" spans="1:19">
      <c r="A37" s="20">
        <v>2052</v>
      </c>
      <c r="B37" s="23">
        <f t="shared" ref="B37:E52" si="10">B36</f>
        <v>1000</v>
      </c>
      <c r="C37" s="23">
        <f t="shared" si="10"/>
        <v>315</v>
      </c>
      <c r="D37" s="28">
        <f t="shared" si="10"/>
        <v>35</v>
      </c>
      <c r="E37" s="28">
        <f t="shared" si="10"/>
        <v>0</v>
      </c>
      <c r="F37" s="26">
        <v>0</v>
      </c>
      <c r="G37" s="29">
        <f t="shared" si="6"/>
        <v>3.18</v>
      </c>
      <c r="H37" s="27">
        <f t="shared" si="6"/>
        <v>0.12</v>
      </c>
      <c r="I37" s="27">
        <f t="shared" si="6"/>
        <v>0.28000000000000003</v>
      </c>
      <c r="J37" s="27">
        <f t="shared" si="6"/>
        <v>0.38</v>
      </c>
      <c r="K37" s="27">
        <f t="shared" si="6"/>
        <v>0.01</v>
      </c>
      <c r="L37" s="28">
        <f t="shared" si="7"/>
        <v>-89.634137931034346</v>
      </c>
      <c r="M37" s="30">
        <f t="shared" si="8"/>
        <v>-203</v>
      </c>
      <c r="N37" s="28">
        <f t="shared" si="9"/>
        <v>-168.00000000000003</v>
      </c>
      <c r="O37" s="28">
        <v>0</v>
      </c>
      <c r="P37" s="23"/>
      <c r="Q37" s="23"/>
      <c r="R37" s="23"/>
      <c r="S37" s="23"/>
    </row>
    <row r="38" spans="1:19">
      <c r="A38" s="20">
        <v>2053</v>
      </c>
      <c r="B38" s="23">
        <f t="shared" si="10"/>
        <v>1000</v>
      </c>
      <c r="C38" s="23">
        <f t="shared" si="10"/>
        <v>315</v>
      </c>
      <c r="D38" s="28">
        <f t="shared" si="10"/>
        <v>35</v>
      </c>
      <c r="E38" s="28">
        <f t="shared" si="10"/>
        <v>0</v>
      </c>
      <c r="F38" s="26">
        <v>0</v>
      </c>
      <c r="G38" s="29">
        <f t="shared" ref="G38:O53" si="11">G37</f>
        <v>3.18</v>
      </c>
      <c r="H38" s="27">
        <f t="shared" si="11"/>
        <v>0.12</v>
      </c>
      <c r="I38" s="27">
        <f t="shared" si="11"/>
        <v>0.28000000000000003</v>
      </c>
      <c r="J38" s="27">
        <f t="shared" si="11"/>
        <v>0.38</v>
      </c>
      <c r="K38" s="27">
        <f t="shared" si="11"/>
        <v>0.01</v>
      </c>
      <c r="L38" s="28">
        <f t="shared" si="7"/>
        <v>-83.323793103448139</v>
      </c>
      <c r="M38" s="30">
        <f t="shared" ref="M38:O51" si="12">M37</f>
        <v>-203</v>
      </c>
      <c r="N38" s="28">
        <f t="shared" si="9"/>
        <v>-177.33333333333337</v>
      </c>
      <c r="O38" s="28">
        <v>0</v>
      </c>
      <c r="P38" s="23"/>
      <c r="Q38" s="23"/>
      <c r="R38" s="23"/>
      <c r="S38" s="23"/>
    </row>
    <row r="39" spans="1:19">
      <c r="A39" s="20">
        <v>2054</v>
      </c>
      <c r="B39" s="23">
        <f t="shared" si="10"/>
        <v>1000</v>
      </c>
      <c r="C39" s="23">
        <f t="shared" si="10"/>
        <v>315</v>
      </c>
      <c r="D39" s="28">
        <f t="shared" si="10"/>
        <v>35</v>
      </c>
      <c r="E39" s="28">
        <f t="shared" si="10"/>
        <v>0</v>
      </c>
      <c r="F39" s="26">
        <v>0</v>
      </c>
      <c r="G39" s="29">
        <f t="shared" si="11"/>
        <v>3.18</v>
      </c>
      <c r="H39" s="27">
        <f t="shared" si="11"/>
        <v>0.12</v>
      </c>
      <c r="I39" s="27">
        <f t="shared" si="11"/>
        <v>0.28000000000000003</v>
      </c>
      <c r="J39" s="27">
        <f t="shared" si="11"/>
        <v>0.38</v>
      </c>
      <c r="K39" s="27">
        <f t="shared" si="11"/>
        <v>0.01</v>
      </c>
      <c r="L39" s="28">
        <f t="shared" si="7"/>
        <v>-77.013448275861933</v>
      </c>
      <c r="M39" s="30">
        <f t="shared" si="12"/>
        <v>-203</v>
      </c>
      <c r="N39" s="28">
        <f t="shared" si="9"/>
        <v>-186.66666666666671</v>
      </c>
      <c r="O39" s="28">
        <v>0</v>
      </c>
      <c r="P39" s="23"/>
      <c r="Q39" s="23"/>
      <c r="R39" s="23"/>
      <c r="S39" s="23"/>
    </row>
    <row r="40" spans="1:19">
      <c r="A40" s="20">
        <v>2055</v>
      </c>
      <c r="B40" s="23">
        <f t="shared" si="10"/>
        <v>1000</v>
      </c>
      <c r="C40" s="23">
        <f t="shared" si="10"/>
        <v>315</v>
      </c>
      <c r="D40" s="28">
        <f t="shared" si="10"/>
        <v>35</v>
      </c>
      <c r="E40" s="28">
        <f t="shared" si="10"/>
        <v>0</v>
      </c>
      <c r="F40" s="26">
        <v>0</v>
      </c>
      <c r="G40" s="29">
        <f t="shared" si="11"/>
        <v>3.18</v>
      </c>
      <c r="H40" s="27">
        <f t="shared" si="11"/>
        <v>0.12</v>
      </c>
      <c r="I40" s="27">
        <f t="shared" si="11"/>
        <v>0.28000000000000003</v>
      </c>
      <c r="J40" s="27">
        <f t="shared" si="11"/>
        <v>0.38</v>
      </c>
      <c r="K40" s="27">
        <f t="shared" si="11"/>
        <v>0.01</v>
      </c>
      <c r="L40" s="28">
        <f t="shared" si="7"/>
        <v>-70.703103448275726</v>
      </c>
      <c r="M40" s="30">
        <f t="shared" si="12"/>
        <v>-203</v>
      </c>
      <c r="N40" s="28">
        <f t="shared" si="9"/>
        <v>-196.00000000000006</v>
      </c>
      <c r="O40" s="28">
        <v>0</v>
      </c>
      <c r="P40" s="23"/>
      <c r="Q40" s="23"/>
      <c r="R40" s="23"/>
      <c r="S40" s="23"/>
    </row>
    <row r="41" spans="1:19">
      <c r="A41" s="20">
        <v>2056</v>
      </c>
      <c r="B41" s="23">
        <f t="shared" si="10"/>
        <v>1000</v>
      </c>
      <c r="C41" s="23">
        <f t="shared" si="10"/>
        <v>315</v>
      </c>
      <c r="D41" s="28">
        <f t="shared" si="10"/>
        <v>35</v>
      </c>
      <c r="E41" s="28">
        <f t="shared" si="10"/>
        <v>0</v>
      </c>
      <c r="F41" s="26">
        <v>0</v>
      </c>
      <c r="G41" s="29">
        <f t="shared" si="11"/>
        <v>3.18</v>
      </c>
      <c r="H41" s="27">
        <f t="shared" si="11"/>
        <v>0.12</v>
      </c>
      <c r="I41" s="27">
        <f t="shared" si="11"/>
        <v>0.28000000000000003</v>
      </c>
      <c r="J41" s="27">
        <f t="shared" si="11"/>
        <v>0.38</v>
      </c>
      <c r="K41" s="27">
        <f t="shared" si="11"/>
        <v>0.01</v>
      </c>
      <c r="L41" s="28">
        <f t="shared" si="7"/>
        <v>-64.39275862068952</v>
      </c>
      <c r="M41" s="30">
        <f t="shared" si="12"/>
        <v>-203</v>
      </c>
      <c r="N41" s="28">
        <f t="shared" si="9"/>
        <v>-205.3333333333334</v>
      </c>
      <c r="O41" s="28">
        <v>0</v>
      </c>
      <c r="P41" s="23"/>
      <c r="Q41" s="23"/>
      <c r="R41" s="23"/>
      <c r="S41" s="23"/>
    </row>
    <row r="42" spans="1:19">
      <c r="A42" s="20">
        <v>2057</v>
      </c>
      <c r="B42" s="23">
        <f t="shared" si="10"/>
        <v>1000</v>
      </c>
      <c r="C42" s="23">
        <f t="shared" si="10"/>
        <v>315</v>
      </c>
      <c r="D42" s="28">
        <f t="shared" si="10"/>
        <v>35</v>
      </c>
      <c r="E42" s="28">
        <f t="shared" si="10"/>
        <v>0</v>
      </c>
      <c r="F42" s="26">
        <v>0</v>
      </c>
      <c r="G42" s="29">
        <f t="shared" si="11"/>
        <v>3.18</v>
      </c>
      <c r="H42" s="27">
        <f t="shared" si="11"/>
        <v>0.12</v>
      </c>
      <c r="I42" s="27">
        <f t="shared" si="11"/>
        <v>0.28000000000000003</v>
      </c>
      <c r="J42" s="27">
        <f t="shared" si="11"/>
        <v>0.38</v>
      </c>
      <c r="K42" s="27">
        <f t="shared" si="11"/>
        <v>0.01</v>
      </c>
      <c r="L42" s="28">
        <f t="shared" si="7"/>
        <v>-58.082413793103314</v>
      </c>
      <c r="M42" s="30">
        <f t="shared" si="12"/>
        <v>-203</v>
      </c>
      <c r="N42" s="28">
        <f t="shared" si="9"/>
        <v>-214.66666666666674</v>
      </c>
      <c r="O42" s="28">
        <v>0</v>
      </c>
      <c r="P42" s="23"/>
      <c r="Q42" s="23"/>
      <c r="R42" s="23"/>
      <c r="S42" s="23"/>
    </row>
    <row r="43" spans="1:19">
      <c r="A43" s="20">
        <v>2058</v>
      </c>
      <c r="B43" s="23">
        <f t="shared" si="10"/>
        <v>1000</v>
      </c>
      <c r="C43" s="23">
        <f t="shared" si="10"/>
        <v>315</v>
      </c>
      <c r="D43" s="28">
        <f t="shared" si="10"/>
        <v>35</v>
      </c>
      <c r="E43" s="28">
        <f t="shared" si="10"/>
        <v>0</v>
      </c>
      <c r="F43" s="26">
        <v>0</v>
      </c>
      <c r="G43" s="29">
        <f t="shared" si="11"/>
        <v>3.18</v>
      </c>
      <c r="H43" s="27">
        <f t="shared" si="11"/>
        <v>0.12</v>
      </c>
      <c r="I43" s="27">
        <f t="shared" si="11"/>
        <v>0.28000000000000003</v>
      </c>
      <c r="J43" s="27">
        <f t="shared" si="11"/>
        <v>0.38</v>
      </c>
      <c r="K43" s="27">
        <f t="shared" si="11"/>
        <v>0.01</v>
      </c>
      <c r="L43" s="28">
        <f t="shared" si="7"/>
        <v>-51.772068965517107</v>
      </c>
      <c r="M43" s="30">
        <f t="shared" si="12"/>
        <v>-203</v>
      </c>
      <c r="N43" s="28">
        <f t="shared" si="9"/>
        <v>-224.00000000000009</v>
      </c>
      <c r="O43" s="28">
        <v>0</v>
      </c>
      <c r="P43" s="23"/>
      <c r="Q43" s="23"/>
      <c r="R43" s="23"/>
      <c r="S43" s="23"/>
    </row>
    <row r="44" spans="1:19">
      <c r="A44" s="20">
        <v>2059</v>
      </c>
      <c r="B44" s="23">
        <f t="shared" si="10"/>
        <v>1000</v>
      </c>
      <c r="C44" s="23">
        <f t="shared" si="10"/>
        <v>315</v>
      </c>
      <c r="D44" s="28">
        <f t="shared" si="10"/>
        <v>35</v>
      </c>
      <c r="E44" s="28">
        <f t="shared" si="10"/>
        <v>0</v>
      </c>
      <c r="F44" s="26">
        <v>0</v>
      </c>
      <c r="G44" s="29">
        <f t="shared" si="11"/>
        <v>3.18</v>
      </c>
      <c r="H44" s="27">
        <f t="shared" si="11"/>
        <v>0.12</v>
      </c>
      <c r="I44" s="27">
        <f t="shared" si="11"/>
        <v>0.28000000000000003</v>
      </c>
      <c r="J44" s="27">
        <f t="shared" si="11"/>
        <v>0.38</v>
      </c>
      <c r="K44" s="27">
        <f t="shared" si="11"/>
        <v>0.01</v>
      </c>
      <c r="L44" s="28">
        <f t="shared" si="7"/>
        <v>-45.461724137930901</v>
      </c>
      <c r="M44" s="30">
        <f t="shared" si="12"/>
        <v>-203</v>
      </c>
      <c r="N44" s="28">
        <f t="shared" si="9"/>
        <v>-233.33333333333343</v>
      </c>
      <c r="O44" s="28">
        <v>0</v>
      </c>
      <c r="P44" s="23"/>
      <c r="Q44" s="23"/>
      <c r="R44" s="23"/>
      <c r="S44" s="23"/>
    </row>
    <row r="45" spans="1:19">
      <c r="A45" s="20">
        <v>2060</v>
      </c>
      <c r="B45" s="23">
        <f t="shared" si="10"/>
        <v>1000</v>
      </c>
      <c r="C45" s="23">
        <f t="shared" si="10"/>
        <v>315</v>
      </c>
      <c r="D45" s="28">
        <f t="shared" si="10"/>
        <v>35</v>
      </c>
      <c r="E45" s="28">
        <f t="shared" si="10"/>
        <v>0</v>
      </c>
      <c r="F45" s="26">
        <v>0</v>
      </c>
      <c r="G45" s="29">
        <f t="shared" si="11"/>
        <v>3.18</v>
      </c>
      <c r="H45" s="27">
        <f t="shared" si="11"/>
        <v>0.12</v>
      </c>
      <c r="I45" s="27">
        <f t="shared" si="11"/>
        <v>0.28000000000000003</v>
      </c>
      <c r="J45" s="27">
        <f t="shared" si="11"/>
        <v>0.38</v>
      </c>
      <c r="K45" s="27">
        <f t="shared" si="11"/>
        <v>0.01</v>
      </c>
      <c r="L45" s="28">
        <f t="shared" si="7"/>
        <v>-39.151379310344694</v>
      </c>
      <c r="M45" s="30">
        <f t="shared" si="12"/>
        <v>-203</v>
      </c>
      <c r="N45" s="28">
        <f t="shared" si="9"/>
        <v>-242.66666666666677</v>
      </c>
      <c r="O45" s="28">
        <v>0</v>
      </c>
      <c r="P45" s="23"/>
      <c r="Q45" s="23"/>
      <c r="R45" s="23"/>
      <c r="S45" s="23"/>
    </row>
    <row r="46" spans="1:19">
      <c r="A46" s="20">
        <v>2061</v>
      </c>
      <c r="B46" s="23">
        <f t="shared" si="10"/>
        <v>1000</v>
      </c>
      <c r="C46" s="23">
        <f t="shared" si="10"/>
        <v>315</v>
      </c>
      <c r="D46" s="28">
        <f t="shared" si="10"/>
        <v>35</v>
      </c>
      <c r="E46" s="28">
        <f t="shared" si="10"/>
        <v>0</v>
      </c>
      <c r="F46" s="26">
        <v>0</v>
      </c>
      <c r="G46" s="29">
        <f t="shared" si="11"/>
        <v>3.18</v>
      </c>
      <c r="H46" s="27">
        <f t="shared" si="11"/>
        <v>0.12</v>
      </c>
      <c r="I46" s="27">
        <f t="shared" si="11"/>
        <v>0.28000000000000003</v>
      </c>
      <c r="J46" s="27">
        <f t="shared" si="11"/>
        <v>0.38</v>
      </c>
      <c r="K46" s="27">
        <f t="shared" si="11"/>
        <v>0.01</v>
      </c>
      <c r="L46" s="28">
        <f t="shared" si="7"/>
        <v>-32.841034482758488</v>
      </c>
      <c r="M46" s="30">
        <f t="shared" si="12"/>
        <v>-203</v>
      </c>
      <c r="N46" s="28">
        <f t="shared" si="9"/>
        <v>-252.00000000000011</v>
      </c>
      <c r="O46" s="28">
        <v>0</v>
      </c>
      <c r="P46" s="23"/>
      <c r="Q46" s="23"/>
      <c r="R46" s="23"/>
      <c r="S46" s="23"/>
    </row>
    <row r="47" spans="1:19">
      <c r="A47" s="20">
        <v>2062</v>
      </c>
      <c r="B47" s="23">
        <f t="shared" si="10"/>
        <v>1000</v>
      </c>
      <c r="C47" s="23">
        <f t="shared" si="10"/>
        <v>315</v>
      </c>
      <c r="D47" s="28">
        <f t="shared" si="10"/>
        <v>35</v>
      </c>
      <c r="E47" s="28">
        <f t="shared" si="10"/>
        <v>0</v>
      </c>
      <c r="F47" s="26">
        <v>0</v>
      </c>
      <c r="G47" s="29">
        <f t="shared" si="11"/>
        <v>3.18</v>
      </c>
      <c r="H47" s="27">
        <f t="shared" si="11"/>
        <v>0.12</v>
      </c>
      <c r="I47" s="27">
        <f t="shared" si="11"/>
        <v>0.28000000000000003</v>
      </c>
      <c r="J47" s="27">
        <f t="shared" si="11"/>
        <v>0.38</v>
      </c>
      <c r="K47" s="27">
        <f t="shared" si="11"/>
        <v>0.01</v>
      </c>
      <c r="L47" s="28">
        <f t="shared" si="7"/>
        <v>-26.530689655172282</v>
      </c>
      <c r="M47" s="30">
        <f t="shared" si="12"/>
        <v>-203</v>
      </c>
      <c r="N47" s="28">
        <f t="shared" si="9"/>
        <v>-261.33333333333343</v>
      </c>
      <c r="O47" s="28">
        <v>0</v>
      </c>
      <c r="P47" s="23"/>
      <c r="Q47" s="23"/>
      <c r="R47" s="23"/>
      <c r="S47" s="23"/>
    </row>
    <row r="48" spans="1:19">
      <c r="A48" s="20">
        <v>2063</v>
      </c>
      <c r="B48" s="23">
        <f t="shared" si="10"/>
        <v>1000</v>
      </c>
      <c r="C48" s="23">
        <f t="shared" si="10"/>
        <v>315</v>
      </c>
      <c r="D48" s="28">
        <f t="shared" si="10"/>
        <v>35</v>
      </c>
      <c r="E48" s="28">
        <f t="shared" si="10"/>
        <v>0</v>
      </c>
      <c r="F48" s="26">
        <v>0</v>
      </c>
      <c r="G48" s="29">
        <f t="shared" si="11"/>
        <v>3.18</v>
      </c>
      <c r="H48" s="27">
        <f t="shared" si="11"/>
        <v>0.12</v>
      </c>
      <c r="I48" s="27">
        <f t="shared" si="11"/>
        <v>0.28000000000000003</v>
      </c>
      <c r="J48" s="27">
        <f t="shared" si="11"/>
        <v>0.38</v>
      </c>
      <c r="K48" s="27">
        <f t="shared" si="11"/>
        <v>0.01</v>
      </c>
      <c r="L48" s="28">
        <f t="shared" si="7"/>
        <v>-20.220344827586075</v>
      </c>
      <c r="M48" s="30">
        <f t="shared" si="12"/>
        <v>-203</v>
      </c>
      <c r="N48" s="28">
        <f t="shared" si="9"/>
        <v>-270.66666666666674</v>
      </c>
      <c r="O48" s="28">
        <v>0</v>
      </c>
      <c r="P48" s="23"/>
      <c r="Q48" s="23"/>
      <c r="R48" s="23"/>
      <c r="S48" s="23"/>
    </row>
    <row r="49" spans="1:19">
      <c r="A49" s="20">
        <v>2064</v>
      </c>
      <c r="B49" s="23">
        <f t="shared" si="10"/>
        <v>1000</v>
      </c>
      <c r="C49" s="23">
        <f t="shared" si="10"/>
        <v>315</v>
      </c>
      <c r="D49" s="28">
        <f t="shared" si="10"/>
        <v>35</v>
      </c>
      <c r="E49" s="28">
        <f t="shared" si="10"/>
        <v>0</v>
      </c>
      <c r="F49" s="26">
        <v>0</v>
      </c>
      <c r="G49" s="29">
        <f t="shared" si="11"/>
        <v>3.18</v>
      </c>
      <c r="H49" s="27">
        <f t="shared" si="11"/>
        <v>0.12</v>
      </c>
      <c r="I49" s="27">
        <f t="shared" si="11"/>
        <v>0.28000000000000003</v>
      </c>
      <c r="J49" s="27">
        <f t="shared" si="11"/>
        <v>0.38</v>
      </c>
      <c r="K49" s="27">
        <f t="shared" si="11"/>
        <v>0.01</v>
      </c>
      <c r="L49" s="30">
        <v>-20</v>
      </c>
      <c r="M49" s="30">
        <f t="shared" si="12"/>
        <v>-203</v>
      </c>
      <c r="N49" s="28">
        <v>-280</v>
      </c>
      <c r="O49" s="28">
        <v>0</v>
      </c>
      <c r="P49" s="23"/>
      <c r="Q49" s="23"/>
      <c r="R49" s="23"/>
      <c r="S49" s="23"/>
    </row>
    <row r="50" spans="1:19">
      <c r="A50" s="20">
        <v>2065</v>
      </c>
      <c r="B50" s="23">
        <f t="shared" si="10"/>
        <v>1000</v>
      </c>
      <c r="C50" s="23">
        <f t="shared" si="10"/>
        <v>315</v>
      </c>
      <c r="D50" s="28">
        <f t="shared" si="10"/>
        <v>35</v>
      </c>
      <c r="E50" s="28">
        <f t="shared" si="10"/>
        <v>0</v>
      </c>
      <c r="F50" s="26">
        <v>0</v>
      </c>
      <c r="G50" s="29">
        <f t="shared" si="11"/>
        <v>3.18</v>
      </c>
      <c r="H50" s="27">
        <f t="shared" si="11"/>
        <v>0.12</v>
      </c>
      <c r="I50" s="27">
        <f t="shared" si="11"/>
        <v>0.28000000000000003</v>
      </c>
      <c r="J50" s="27">
        <f t="shared" si="11"/>
        <v>0.38</v>
      </c>
      <c r="K50" s="27">
        <f t="shared" si="11"/>
        <v>0.01</v>
      </c>
      <c r="L50" s="30">
        <f>L49</f>
        <v>-20</v>
      </c>
      <c r="M50" s="30">
        <f t="shared" si="12"/>
        <v>-203</v>
      </c>
      <c r="N50" s="28">
        <f>N49</f>
        <v>-280</v>
      </c>
      <c r="O50" s="28">
        <f>O49</f>
        <v>0</v>
      </c>
      <c r="P50" s="23"/>
      <c r="Q50" s="23"/>
      <c r="R50" s="23"/>
      <c r="S50" s="23"/>
    </row>
    <row r="51" spans="1:19">
      <c r="A51" s="20">
        <v>2066</v>
      </c>
      <c r="B51" s="23">
        <f t="shared" si="10"/>
        <v>1000</v>
      </c>
      <c r="C51" s="23">
        <f t="shared" si="10"/>
        <v>315</v>
      </c>
      <c r="D51" s="28">
        <f t="shared" si="10"/>
        <v>35</v>
      </c>
      <c r="E51" s="28">
        <f t="shared" si="10"/>
        <v>0</v>
      </c>
      <c r="F51" s="26">
        <v>0</v>
      </c>
      <c r="G51" s="29">
        <f t="shared" si="11"/>
        <v>3.18</v>
      </c>
      <c r="H51" s="27">
        <f t="shared" si="11"/>
        <v>0.12</v>
      </c>
      <c r="I51" s="27">
        <f t="shared" si="11"/>
        <v>0.28000000000000003</v>
      </c>
      <c r="J51" s="27">
        <f t="shared" si="11"/>
        <v>0.38</v>
      </c>
      <c r="K51" s="27">
        <f t="shared" si="11"/>
        <v>0.01</v>
      </c>
      <c r="L51" s="30">
        <f t="shared" si="11"/>
        <v>-20</v>
      </c>
      <c r="M51" s="30">
        <f t="shared" si="12"/>
        <v>-203</v>
      </c>
      <c r="N51" s="28">
        <f t="shared" si="12"/>
        <v>-280</v>
      </c>
      <c r="O51" s="28">
        <f t="shared" si="12"/>
        <v>0</v>
      </c>
      <c r="P51" s="23"/>
      <c r="Q51" s="23"/>
      <c r="R51" s="23"/>
      <c r="S51" s="23"/>
    </row>
    <row r="52" spans="1:19">
      <c r="A52" s="20">
        <v>2067</v>
      </c>
      <c r="B52" s="23">
        <f t="shared" si="10"/>
        <v>1000</v>
      </c>
      <c r="C52" s="23">
        <f t="shared" si="10"/>
        <v>315</v>
      </c>
      <c r="D52" s="28">
        <f t="shared" si="10"/>
        <v>35</v>
      </c>
      <c r="E52" s="28">
        <f t="shared" si="10"/>
        <v>0</v>
      </c>
      <c r="F52" s="26">
        <v>0</v>
      </c>
      <c r="G52" s="29">
        <f t="shared" si="11"/>
        <v>3.18</v>
      </c>
      <c r="H52" s="27">
        <f t="shared" si="11"/>
        <v>0.12</v>
      </c>
      <c r="I52" s="27">
        <f t="shared" si="11"/>
        <v>0.28000000000000003</v>
      </c>
      <c r="J52" s="27">
        <f t="shared" si="11"/>
        <v>0.38</v>
      </c>
      <c r="K52" s="27">
        <f t="shared" si="11"/>
        <v>0.01</v>
      </c>
      <c r="L52" s="30">
        <f t="shared" si="11"/>
        <v>-20</v>
      </c>
      <c r="M52" s="30">
        <f t="shared" si="11"/>
        <v>-203</v>
      </c>
      <c r="N52" s="28">
        <f t="shared" si="11"/>
        <v>-280</v>
      </c>
      <c r="O52" s="28">
        <f t="shared" si="11"/>
        <v>0</v>
      </c>
      <c r="P52" s="23"/>
      <c r="Q52" s="23"/>
      <c r="R52" s="23"/>
      <c r="S52" s="23"/>
    </row>
    <row r="53" spans="1:19">
      <c r="A53" s="20">
        <v>2068</v>
      </c>
      <c r="B53" s="23">
        <f t="shared" ref="B53:E68" si="13">B52</f>
        <v>1000</v>
      </c>
      <c r="C53" s="23">
        <f t="shared" si="13"/>
        <v>315</v>
      </c>
      <c r="D53" s="28">
        <f t="shared" si="13"/>
        <v>35</v>
      </c>
      <c r="E53" s="28">
        <f t="shared" si="13"/>
        <v>0</v>
      </c>
      <c r="F53" s="26">
        <v>0</v>
      </c>
      <c r="G53" s="29">
        <f t="shared" si="11"/>
        <v>3.18</v>
      </c>
      <c r="H53" s="27">
        <f t="shared" si="11"/>
        <v>0.12</v>
      </c>
      <c r="I53" s="27">
        <f t="shared" si="11"/>
        <v>0.28000000000000003</v>
      </c>
      <c r="J53" s="27">
        <f t="shared" si="11"/>
        <v>0.38</v>
      </c>
      <c r="K53" s="27">
        <f t="shared" si="11"/>
        <v>0.01</v>
      </c>
      <c r="L53" s="30">
        <f t="shared" si="11"/>
        <v>-20</v>
      </c>
      <c r="M53" s="30">
        <f t="shared" si="11"/>
        <v>-203</v>
      </c>
      <c r="N53" s="28">
        <f t="shared" si="11"/>
        <v>-280</v>
      </c>
      <c r="O53" s="28">
        <f t="shared" si="11"/>
        <v>0</v>
      </c>
      <c r="P53" s="23"/>
      <c r="Q53" s="23"/>
      <c r="R53" s="23"/>
      <c r="S53" s="23"/>
    </row>
    <row r="54" spans="1:19">
      <c r="A54" s="20">
        <v>2069</v>
      </c>
      <c r="B54" s="23">
        <f t="shared" si="13"/>
        <v>1000</v>
      </c>
      <c r="C54" s="23">
        <f t="shared" si="13"/>
        <v>315</v>
      </c>
      <c r="D54" s="28">
        <f t="shared" si="13"/>
        <v>35</v>
      </c>
      <c r="E54" s="28">
        <f t="shared" si="13"/>
        <v>0</v>
      </c>
      <c r="F54" s="26">
        <v>0</v>
      </c>
      <c r="G54" s="29">
        <f t="shared" ref="G54:O69" si="14">G53</f>
        <v>3.18</v>
      </c>
      <c r="H54" s="27">
        <f t="shared" si="14"/>
        <v>0.12</v>
      </c>
      <c r="I54" s="27">
        <f t="shared" si="14"/>
        <v>0.28000000000000003</v>
      </c>
      <c r="J54" s="27">
        <f t="shared" si="14"/>
        <v>0.38</v>
      </c>
      <c r="K54" s="27">
        <f t="shared" si="14"/>
        <v>0.01</v>
      </c>
      <c r="L54" s="30">
        <f t="shared" si="14"/>
        <v>-20</v>
      </c>
      <c r="M54" s="30">
        <f t="shared" si="14"/>
        <v>-203</v>
      </c>
      <c r="N54" s="28">
        <f t="shared" si="14"/>
        <v>-280</v>
      </c>
      <c r="O54" s="28">
        <f t="shared" si="14"/>
        <v>0</v>
      </c>
      <c r="P54" s="23"/>
      <c r="Q54" s="23"/>
      <c r="R54" s="23"/>
      <c r="S54" s="23"/>
    </row>
    <row r="55" spans="1:19">
      <c r="A55" s="20">
        <v>2070</v>
      </c>
      <c r="B55" s="23">
        <f t="shared" si="13"/>
        <v>1000</v>
      </c>
      <c r="C55" s="23">
        <f t="shared" si="13"/>
        <v>315</v>
      </c>
      <c r="D55" s="28">
        <f t="shared" si="13"/>
        <v>35</v>
      </c>
      <c r="E55" s="28">
        <f t="shared" si="13"/>
        <v>0</v>
      </c>
      <c r="F55" s="26">
        <v>0</v>
      </c>
      <c r="G55" s="29">
        <f t="shared" si="14"/>
        <v>3.18</v>
      </c>
      <c r="H55" s="27">
        <f t="shared" si="14"/>
        <v>0.12</v>
      </c>
      <c r="I55" s="27">
        <f t="shared" si="14"/>
        <v>0.28000000000000003</v>
      </c>
      <c r="J55" s="27">
        <f t="shared" si="14"/>
        <v>0.38</v>
      </c>
      <c r="K55" s="27">
        <f t="shared" si="14"/>
        <v>0.01</v>
      </c>
      <c r="L55" s="30">
        <f t="shared" si="14"/>
        <v>-20</v>
      </c>
      <c r="M55" s="30">
        <f t="shared" si="14"/>
        <v>-203</v>
      </c>
      <c r="N55" s="28">
        <f t="shared" si="14"/>
        <v>-280</v>
      </c>
      <c r="O55" s="28">
        <f t="shared" si="14"/>
        <v>0</v>
      </c>
      <c r="P55" s="23"/>
      <c r="Q55" s="23"/>
      <c r="R55" s="23"/>
      <c r="S55" s="23"/>
    </row>
    <row r="56" spans="1:19">
      <c r="A56" s="20">
        <v>2071</v>
      </c>
      <c r="B56" s="23">
        <f t="shared" si="13"/>
        <v>1000</v>
      </c>
      <c r="C56" s="23">
        <f t="shared" si="13"/>
        <v>315</v>
      </c>
      <c r="D56" s="28">
        <f t="shared" si="13"/>
        <v>35</v>
      </c>
      <c r="E56" s="28">
        <f t="shared" si="13"/>
        <v>0</v>
      </c>
      <c r="F56" s="26">
        <v>0</v>
      </c>
      <c r="G56" s="29">
        <f t="shared" si="14"/>
        <v>3.18</v>
      </c>
      <c r="H56" s="27">
        <f t="shared" si="14"/>
        <v>0.12</v>
      </c>
      <c r="I56" s="27">
        <f t="shared" si="14"/>
        <v>0.28000000000000003</v>
      </c>
      <c r="J56" s="27">
        <f t="shared" si="14"/>
        <v>0.38</v>
      </c>
      <c r="K56" s="27">
        <f t="shared" si="14"/>
        <v>0.01</v>
      </c>
      <c r="L56" s="30">
        <f t="shared" si="14"/>
        <v>-20</v>
      </c>
      <c r="M56" s="30">
        <f t="shared" si="14"/>
        <v>-203</v>
      </c>
      <c r="N56" s="28">
        <f t="shared" si="14"/>
        <v>-280</v>
      </c>
      <c r="O56" s="28">
        <f t="shared" si="14"/>
        <v>0</v>
      </c>
      <c r="P56" s="23"/>
      <c r="Q56" s="23"/>
      <c r="R56" s="23"/>
      <c r="S56" s="23"/>
    </row>
    <row r="57" spans="1:19">
      <c r="A57" s="20">
        <v>2072</v>
      </c>
      <c r="B57" s="23">
        <f t="shared" si="13"/>
        <v>1000</v>
      </c>
      <c r="C57" s="23">
        <f t="shared" si="13"/>
        <v>315</v>
      </c>
      <c r="D57" s="28">
        <f t="shared" si="13"/>
        <v>35</v>
      </c>
      <c r="E57" s="28">
        <f t="shared" si="13"/>
        <v>0</v>
      </c>
      <c r="F57" s="26">
        <v>0</v>
      </c>
      <c r="G57" s="29">
        <f t="shared" si="14"/>
        <v>3.18</v>
      </c>
      <c r="H57" s="27">
        <f t="shared" si="14"/>
        <v>0.12</v>
      </c>
      <c r="I57" s="27">
        <f t="shared" si="14"/>
        <v>0.28000000000000003</v>
      </c>
      <c r="J57" s="27">
        <f t="shared" si="14"/>
        <v>0.38</v>
      </c>
      <c r="K57" s="27">
        <f t="shared" si="14"/>
        <v>0.01</v>
      </c>
      <c r="L57" s="30">
        <f t="shared" si="14"/>
        <v>-20</v>
      </c>
      <c r="M57" s="30">
        <f t="shared" si="14"/>
        <v>-203</v>
      </c>
      <c r="N57" s="28">
        <f t="shared" si="14"/>
        <v>-280</v>
      </c>
      <c r="O57" s="28">
        <f t="shared" si="14"/>
        <v>0</v>
      </c>
      <c r="P57" s="23"/>
      <c r="Q57" s="23"/>
      <c r="R57" s="23"/>
      <c r="S57" s="23"/>
    </row>
    <row r="58" spans="1:19">
      <c r="A58" s="20">
        <v>2073</v>
      </c>
      <c r="B58" s="23">
        <f t="shared" si="13"/>
        <v>1000</v>
      </c>
      <c r="C58" s="23">
        <f t="shared" si="13"/>
        <v>315</v>
      </c>
      <c r="D58" s="28">
        <f t="shared" si="13"/>
        <v>35</v>
      </c>
      <c r="E58" s="28">
        <f t="shared" si="13"/>
        <v>0</v>
      </c>
      <c r="F58" s="26">
        <v>0</v>
      </c>
      <c r="G58" s="29">
        <f t="shared" si="14"/>
        <v>3.18</v>
      </c>
      <c r="H58" s="27">
        <f t="shared" si="14"/>
        <v>0.12</v>
      </c>
      <c r="I58" s="27">
        <f t="shared" si="14"/>
        <v>0.28000000000000003</v>
      </c>
      <c r="J58" s="27">
        <f t="shared" si="14"/>
        <v>0.38</v>
      </c>
      <c r="K58" s="27">
        <f t="shared" si="14"/>
        <v>0.01</v>
      </c>
      <c r="L58" s="30">
        <f t="shared" si="14"/>
        <v>-20</v>
      </c>
      <c r="M58" s="30">
        <f t="shared" si="14"/>
        <v>-203</v>
      </c>
      <c r="N58" s="28">
        <f t="shared" si="14"/>
        <v>-280</v>
      </c>
      <c r="O58" s="28">
        <f t="shared" si="14"/>
        <v>0</v>
      </c>
      <c r="P58" s="23"/>
      <c r="Q58" s="23"/>
      <c r="R58" s="23"/>
      <c r="S58" s="23"/>
    </row>
    <row r="59" spans="1:19">
      <c r="A59" s="20">
        <v>2074</v>
      </c>
      <c r="B59" s="23">
        <f t="shared" si="13"/>
        <v>1000</v>
      </c>
      <c r="C59" s="23">
        <f t="shared" si="13"/>
        <v>315</v>
      </c>
      <c r="D59" s="28">
        <f t="shared" si="13"/>
        <v>35</v>
      </c>
      <c r="E59" s="28">
        <f t="shared" si="13"/>
        <v>0</v>
      </c>
      <c r="F59" s="26">
        <v>0</v>
      </c>
      <c r="G59" s="29">
        <f t="shared" si="14"/>
        <v>3.18</v>
      </c>
      <c r="H59" s="27">
        <f t="shared" si="14"/>
        <v>0.12</v>
      </c>
      <c r="I59" s="27">
        <f t="shared" si="14"/>
        <v>0.28000000000000003</v>
      </c>
      <c r="J59" s="27">
        <f t="shared" si="14"/>
        <v>0.38</v>
      </c>
      <c r="K59" s="27">
        <f t="shared" si="14"/>
        <v>0.01</v>
      </c>
      <c r="L59" s="30">
        <f t="shared" si="14"/>
        <v>-20</v>
      </c>
      <c r="M59" s="30">
        <f t="shared" si="14"/>
        <v>-203</v>
      </c>
      <c r="N59" s="28">
        <f t="shared" si="14"/>
        <v>-280</v>
      </c>
      <c r="O59" s="28">
        <f t="shared" si="14"/>
        <v>0</v>
      </c>
      <c r="P59" s="23"/>
      <c r="Q59" s="23"/>
      <c r="R59" s="23"/>
      <c r="S59" s="23"/>
    </row>
    <row r="60" spans="1:19">
      <c r="A60" s="20">
        <v>2075</v>
      </c>
      <c r="B60" s="23">
        <f t="shared" si="13"/>
        <v>1000</v>
      </c>
      <c r="C60" s="23">
        <f t="shared" si="13"/>
        <v>315</v>
      </c>
      <c r="D60" s="28">
        <f t="shared" si="13"/>
        <v>35</v>
      </c>
      <c r="E60" s="28">
        <f t="shared" si="13"/>
        <v>0</v>
      </c>
      <c r="F60" s="26">
        <v>0</v>
      </c>
      <c r="G60" s="29">
        <f t="shared" si="14"/>
        <v>3.18</v>
      </c>
      <c r="H60" s="27">
        <f t="shared" si="14"/>
        <v>0.12</v>
      </c>
      <c r="I60" s="27">
        <f t="shared" si="14"/>
        <v>0.28000000000000003</v>
      </c>
      <c r="J60" s="27">
        <f t="shared" si="14"/>
        <v>0.38</v>
      </c>
      <c r="K60" s="27">
        <f t="shared" si="14"/>
        <v>0.01</v>
      </c>
      <c r="L60" s="30">
        <f t="shared" si="14"/>
        <v>-20</v>
      </c>
      <c r="M60" s="30">
        <f t="shared" si="14"/>
        <v>-203</v>
      </c>
      <c r="N60" s="28">
        <f t="shared" si="14"/>
        <v>-280</v>
      </c>
      <c r="O60" s="28">
        <f t="shared" si="14"/>
        <v>0</v>
      </c>
      <c r="P60" s="23"/>
      <c r="Q60" s="23"/>
      <c r="R60" s="23"/>
      <c r="S60" s="23"/>
    </row>
    <row r="61" spans="1:19">
      <c r="A61" s="20">
        <v>2076</v>
      </c>
      <c r="B61" s="23">
        <f t="shared" si="13"/>
        <v>1000</v>
      </c>
      <c r="C61" s="23">
        <f t="shared" si="13"/>
        <v>315</v>
      </c>
      <c r="D61" s="28">
        <f t="shared" si="13"/>
        <v>35</v>
      </c>
      <c r="E61" s="28">
        <f t="shared" si="13"/>
        <v>0</v>
      </c>
      <c r="F61" s="26">
        <v>0</v>
      </c>
      <c r="G61" s="29">
        <f t="shared" si="14"/>
        <v>3.18</v>
      </c>
      <c r="H61" s="27">
        <f t="shared" si="14"/>
        <v>0.12</v>
      </c>
      <c r="I61" s="27">
        <f t="shared" si="14"/>
        <v>0.28000000000000003</v>
      </c>
      <c r="J61" s="27">
        <f t="shared" si="14"/>
        <v>0.38</v>
      </c>
      <c r="K61" s="27">
        <f t="shared" si="14"/>
        <v>0.01</v>
      </c>
      <c r="L61" s="30">
        <f t="shared" si="14"/>
        <v>-20</v>
      </c>
      <c r="M61" s="30">
        <f t="shared" si="14"/>
        <v>-203</v>
      </c>
      <c r="N61" s="28">
        <f t="shared" si="14"/>
        <v>-280</v>
      </c>
      <c r="O61" s="28">
        <f t="shared" si="14"/>
        <v>0</v>
      </c>
      <c r="P61" s="23"/>
      <c r="Q61" s="23"/>
      <c r="R61" s="23"/>
      <c r="S61" s="23"/>
    </row>
    <row r="62" spans="1:19">
      <c r="A62" s="20">
        <v>2077</v>
      </c>
      <c r="B62" s="23">
        <f t="shared" si="13"/>
        <v>1000</v>
      </c>
      <c r="C62" s="23">
        <f t="shared" si="13"/>
        <v>315</v>
      </c>
      <c r="D62" s="28">
        <f t="shared" si="13"/>
        <v>35</v>
      </c>
      <c r="E62" s="28">
        <f t="shared" si="13"/>
        <v>0</v>
      </c>
      <c r="F62" s="26">
        <v>0</v>
      </c>
      <c r="G62" s="29">
        <f t="shared" si="14"/>
        <v>3.18</v>
      </c>
      <c r="H62" s="27">
        <f t="shared" si="14"/>
        <v>0.12</v>
      </c>
      <c r="I62" s="27">
        <f t="shared" si="14"/>
        <v>0.28000000000000003</v>
      </c>
      <c r="J62" s="27">
        <f t="shared" si="14"/>
        <v>0.38</v>
      </c>
      <c r="K62" s="27">
        <f t="shared" si="14"/>
        <v>0.01</v>
      </c>
      <c r="L62" s="30">
        <f t="shared" si="14"/>
        <v>-20</v>
      </c>
      <c r="M62" s="30">
        <f t="shared" si="14"/>
        <v>-203</v>
      </c>
      <c r="N62" s="28">
        <f t="shared" si="14"/>
        <v>-280</v>
      </c>
      <c r="O62" s="28">
        <f t="shared" si="14"/>
        <v>0</v>
      </c>
      <c r="P62" s="23"/>
      <c r="Q62" s="23"/>
      <c r="R62" s="23"/>
      <c r="S62" s="23"/>
    </row>
    <row r="63" spans="1:19">
      <c r="A63" s="20">
        <v>2078</v>
      </c>
      <c r="B63" s="23">
        <f t="shared" si="13"/>
        <v>1000</v>
      </c>
      <c r="C63" s="23">
        <f t="shared" si="13"/>
        <v>315</v>
      </c>
      <c r="D63" s="28">
        <f t="shared" si="13"/>
        <v>35</v>
      </c>
      <c r="E63" s="28">
        <f t="shared" si="13"/>
        <v>0</v>
      </c>
      <c r="F63" s="26">
        <v>0</v>
      </c>
      <c r="G63" s="29">
        <f t="shared" si="14"/>
        <v>3.18</v>
      </c>
      <c r="H63" s="27">
        <f t="shared" si="14"/>
        <v>0.12</v>
      </c>
      <c r="I63" s="27">
        <f t="shared" si="14"/>
        <v>0.28000000000000003</v>
      </c>
      <c r="J63" s="27">
        <f t="shared" si="14"/>
        <v>0.38</v>
      </c>
      <c r="K63" s="27">
        <f t="shared" si="14"/>
        <v>0.01</v>
      </c>
      <c r="L63" s="30">
        <f t="shared" si="14"/>
        <v>-20</v>
      </c>
      <c r="M63" s="30">
        <f t="shared" si="14"/>
        <v>-203</v>
      </c>
      <c r="N63" s="28">
        <f t="shared" si="14"/>
        <v>-280</v>
      </c>
      <c r="O63" s="28">
        <f t="shared" si="14"/>
        <v>0</v>
      </c>
      <c r="P63" s="23"/>
      <c r="Q63" s="23"/>
      <c r="R63" s="23"/>
      <c r="S63" s="23"/>
    </row>
    <row r="64" spans="1:19">
      <c r="A64" s="20">
        <v>2079</v>
      </c>
      <c r="B64" s="23">
        <f t="shared" si="13"/>
        <v>1000</v>
      </c>
      <c r="C64" s="23">
        <f t="shared" si="13"/>
        <v>315</v>
      </c>
      <c r="D64" s="28">
        <f t="shared" si="13"/>
        <v>35</v>
      </c>
      <c r="E64" s="28">
        <f t="shared" si="13"/>
        <v>0</v>
      </c>
      <c r="F64" s="26">
        <v>0</v>
      </c>
      <c r="G64" s="29">
        <f t="shared" si="14"/>
        <v>3.18</v>
      </c>
      <c r="H64" s="27">
        <f t="shared" si="14"/>
        <v>0.12</v>
      </c>
      <c r="I64" s="27">
        <f t="shared" si="14"/>
        <v>0.28000000000000003</v>
      </c>
      <c r="J64" s="27">
        <f t="shared" si="14"/>
        <v>0.38</v>
      </c>
      <c r="K64" s="27">
        <f t="shared" si="14"/>
        <v>0.01</v>
      </c>
      <c r="L64" s="30">
        <f t="shared" si="14"/>
        <v>-20</v>
      </c>
      <c r="M64" s="30">
        <f t="shared" si="14"/>
        <v>-203</v>
      </c>
      <c r="N64" s="28">
        <f t="shared" si="14"/>
        <v>-280</v>
      </c>
      <c r="O64" s="28">
        <f t="shared" si="14"/>
        <v>0</v>
      </c>
      <c r="P64" s="23"/>
      <c r="Q64" s="23"/>
      <c r="R64" s="23"/>
      <c r="S64" s="23"/>
    </row>
    <row r="65" spans="1:19">
      <c r="A65" s="20">
        <v>2080</v>
      </c>
      <c r="B65" s="23">
        <f t="shared" si="13"/>
        <v>1000</v>
      </c>
      <c r="C65" s="23">
        <f t="shared" si="13"/>
        <v>315</v>
      </c>
      <c r="D65" s="28">
        <f t="shared" si="13"/>
        <v>35</v>
      </c>
      <c r="E65" s="28">
        <f t="shared" si="13"/>
        <v>0</v>
      </c>
      <c r="F65" s="26">
        <v>0</v>
      </c>
      <c r="G65" s="29">
        <f t="shared" si="14"/>
        <v>3.18</v>
      </c>
      <c r="H65" s="27">
        <f t="shared" si="14"/>
        <v>0.12</v>
      </c>
      <c r="I65" s="27">
        <f t="shared" si="14"/>
        <v>0.28000000000000003</v>
      </c>
      <c r="J65" s="27">
        <f t="shared" si="14"/>
        <v>0.38</v>
      </c>
      <c r="K65" s="27">
        <f t="shared" si="14"/>
        <v>0.01</v>
      </c>
      <c r="L65" s="30">
        <f t="shared" si="14"/>
        <v>-20</v>
      </c>
      <c r="M65" s="30">
        <f t="shared" si="14"/>
        <v>-203</v>
      </c>
      <c r="N65" s="28">
        <f t="shared" si="14"/>
        <v>-280</v>
      </c>
      <c r="O65" s="28">
        <f t="shared" si="14"/>
        <v>0</v>
      </c>
      <c r="P65" s="23"/>
      <c r="Q65" s="23"/>
      <c r="R65" s="23"/>
      <c r="S65" s="23"/>
    </row>
    <row r="66" spans="1:19">
      <c r="A66" s="20">
        <v>2081</v>
      </c>
      <c r="B66" s="23">
        <f t="shared" si="13"/>
        <v>1000</v>
      </c>
      <c r="C66" s="23">
        <f t="shared" si="13"/>
        <v>315</v>
      </c>
      <c r="D66" s="28">
        <f t="shared" si="13"/>
        <v>35</v>
      </c>
      <c r="E66" s="28">
        <f t="shared" si="13"/>
        <v>0</v>
      </c>
      <c r="F66" s="26">
        <v>0</v>
      </c>
      <c r="G66" s="29">
        <f t="shared" si="14"/>
        <v>3.18</v>
      </c>
      <c r="H66" s="27">
        <f t="shared" si="14"/>
        <v>0.12</v>
      </c>
      <c r="I66" s="27">
        <f t="shared" si="14"/>
        <v>0.28000000000000003</v>
      </c>
      <c r="J66" s="27">
        <f t="shared" si="14"/>
        <v>0.38</v>
      </c>
      <c r="K66" s="27">
        <f t="shared" si="14"/>
        <v>0.01</v>
      </c>
      <c r="L66" s="30">
        <f t="shared" si="14"/>
        <v>-20</v>
      </c>
      <c r="M66" s="30">
        <f t="shared" si="14"/>
        <v>-203</v>
      </c>
      <c r="N66" s="28">
        <f t="shared" si="14"/>
        <v>-280</v>
      </c>
      <c r="O66" s="28">
        <f t="shared" si="14"/>
        <v>0</v>
      </c>
      <c r="P66" s="23"/>
      <c r="Q66" s="23"/>
      <c r="R66" s="23"/>
      <c r="S66" s="23"/>
    </row>
    <row r="67" spans="1:19">
      <c r="A67" s="20">
        <v>2082</v>
      </c>
      <c r="B67" s="23">
        <f t="shared" si="13"/>
        <v>1000</v>
      </c>
      <c r="C67" s="23">
        <f t="shared" si="13"/>
        <v>315</v>
      </c>
      <c r="D67" s="28">
        <f t="shared" si="13"/>
        <v>35</v>
      </c>
      <c r="E67" s="28">
        <f t="shared" si="13"/>
        <v>0</v>
      </c>
      <c r="F67" s="26">
        <v>0</v>
      </c>
      <c r="G67" s="29">
        <f t="shared" si="14"/>
        <v>3.18</v>
      </c>
      <c r="H67" s="27">
        <f t="shared" si="14"/>
        <v>0.12</v>
      </c>
      <c r="I67" s="27">
        <f t="shared" si="14"/>
        <v>0.28000000000000003</v>
      </c>
      <c r="J67" s="27">
        <f t="shared" si="14"/>
        <v>0.38</v>
      </c>
      <c r="K67" s="27">
        <f t="shared" si="14"/>
        <v>0.01</v>
      </c>
      <c r="L67" s="30">
        <f t="shared" si="14"/>
        <v>-20</v>
      </c>
      <c r="M67" s="30">
        <f t="shared" si="14"/>
        <v>-203</v>
      </c>
      <c r="N67" s="28">
        <f t="shared" si="14"/>
        <v>-280</v>
      </c>
      <c r="O67" s="28">
        <f t="shared" si="14"/>
        <v>0</v>
      </c>
      <c r="P67" s="23"/>
      <c r="Q67" s="23"/>
      <c r="R67" s="23"/>
      <c r="S67" s="23"/>
    </row>
    <row r="68" spans="1:19">
      <c r="A68" s="20">
        <v>2083</v>
      </c>
      <c r="B68" s="23">
        <f t="shared" si="13"/>
        <v>1000</v>
      </c>
      <c r="C68" s="23">
        <f t="shared" si="13"/>
        <v>315</v>
      </c>
      <c r="D68" s="28">
        <f t="shared" si="13"/>
        <v>35</v>
      </c>
      <c r="E68" s="28">
        <f t="shared" si="13"/>
        <v>0</v>
      </c>
      <c r="F68" s="26">
        <v>0</v>
      </c>
      <c r="G68" s="29">
        <f t="shared" si="14"/>
        <v>3.18</v>
      </c>
      <c r="H68" s="27">
        <f t="shared" si="14"/>
        <v>0.12</v>
      </c>
      <c r="I68" s="27">
        <f t="shared" si="14"/>
        <v>0.28000000000000003</v>
      </c>
      <c r="J68" s="27">
        <f t="shared" si="14"/>
        <v>0.38</v>
      </c>
      <c r="K68" s="27">
        <f t="shared" si="14"/>
        <v>0.01</v>
      </c>
      <c r="L68" s="30">
        <f t="shared" si="14"/>
        <v>-20</v>
      </c>
      <c r="M68" s="30">
        <f t="shared" si="14"/>
        <v>-203</v>
      </c>
      <c r="N68" s="28">
        <f t="shared" si="14"/>
        <v>-280</v>
      </c>
      <c r="O68" s="28">
        <f t="shared" si="14"/>
        <v>0</v>
      </c>
      <c r="P68" s="23"/>
      <c r="Q68" s="23"/>
      <c r="R68" s="23"/>
      <c r="S68" s="23"/>
    </row>
    <row r="69" spans="1:19">
      <c r="A69" s="20">
        <v>2084</v>
      </c>
      <c r="B69" s="23">
        <f t="shared" ref="B69:E84" si="15">B68</f>
        <v>1000</v>
      </c>
      <c r="C69" s="23">
        <f t="shared" si="15"/>
        <v>315</v>
      </c>
      <c r="D69" s="28">
        <f t="shared" si="15"/>
        <v>35</v>
      </c>
      <c r="E69" s="28">
        <f t="shared" si="15"/>
        <v>0</v>
      </c>
      <c r="F69" s="26">
        <v>0</v>
      </c>
      <c r="G69" s="29">
        <f t="shared" si="14"/>
        <v>3.18</v>
      </c>
      <c r="H69" s="27">
        <f t="shared" si="14"/>
        <v>0.12</v>
      </c>
      <c r="I69" s="27">
        <f t="shared" si="14"/>
        <v>0.28000000000000003</v>
      </c>
      <c r="J69" s="27">
        <f t="shared" si="14"/>
        <v>0.38</v>
      </c>
      <c r="K69" s="27">
        <f t="shared" si="14"/>
        <v>0.01</v>
      </c>
      <c r="L69" s="30">
        <f t="shared" si="14"/>
        <v>-20</v>
      </c>
      <c r="M69" s="30">
        <f t="shared" si="14"/>
        <v>-203</v>
      </c>
      <c r="N69" s="28">
        <f t="shared" si="14"/>
        <v>-280</v>
      </c>
      <c r="O69" s="28">
        <f t="shared" si="14"/>
        <v>0</v>
      </c>
      <c r="P69" s="23"/>
      <c r="Q69" s="23"/>
      <c r="R69" s="23"/>
      <c r="S69" s="23"/>
    </row>
    <row r="70" spans="1:19">
      <c r="A70" s="20">
        <v>2085</v>
      </c>
      <c r="B70" s="23">
        <f t="shared" si="15"/>
        <v>1000</v>
      </c>
      <c r="C70" s="23">
        <f t="shared" si="15"/>
        <v>315</v>
      </c>
      <c r="D70" s="28">
        <f t="shared" si="15"/>
        <v>35</v>
      </c>
      <c r="E70" s="28">
        <f t="shared" si="15"/>
        <v>0</v>
      </c>
      <c r="F70" s="26">
        <v>0</v>
      </c>
      <c r="G70" s="29">
        <f t="shared" ref="G70:O85" si="16">G69</f>
        <v>3.18</v>
      </c>
      <c r="H70" s="27">
        <f t="shared" si="16"/>
        <v>0.12</v>
      </c>
      <c r="I70" s="27">
        <f t="shared" si="16"/>
        <v>0.28000000000000003</v>
      </c>
      <c r="J70" s="27">
        <f t="shared" si="16"/>
        <v>0.38</v>
      </c>
      <c r="K70" s="27">
        <f t="shared" si="16"/>
        <v>0.01</v>
      </c>
      <c r="L70" s="30">
        <f t="shared" si="16"/>
        <v>-20</v>
      </c>
      <c r="M70" s="30">
        <f t="shared" si="16"/>
        <v>-203</v>
      </c>
      <c r="N70" s="28">
        <f t="shared" si="16"/>
        <v>-280</v>
      </c>
      <c r="O70" s="28">
        <f t="shared" si="16"/>
        <v>0</v>
      </c>
      <c r="P70" s="23"/>
      <c r="Q70" s="23"/>
      <c r="R70" s="23"/>
      <c r="S70" s="23"/>
    </row>
    <row r="71" spans="1:19">
      <c r="A71" s="20">
        <v>2086</v>
      </c>
      <c r="B71" s="23">
        <f t="shared" si="15"/>
        <v>1000</v>
      </c>
      <c r="C71" s="23">
        <f t="shared" si="15"/>
        <v>315</v>
      </c>
      <c r="D71" s="28">
        <f t="shared" si="15"/>
        <v>35</v>
      </c>
      <c r="E71" s="28">
        <f t="shared" si="15"/>
        <v>0</v>
      </c>
      <c r="F71" s="26">
        <v>0</v>
      </c>
      <c r="G71" s="29">
        <f t="shared" si="16"/>
        <v>3.18</v>
      </c>
      <c r="H71" s="27">
        <f t="shared" si="16"/>
        <v>0.12</v>
      </c>
      <c r="I71" s="27">
        <f t="shared" si="16"/>
        <v>0.28000000000000003</v>
      </c>
      <c r="J71" s="27">
        <f t="shared" si="16"/>
        <v>0.38</v>
      </c>
      <c r="K71" s="27">
        <f t="shared" si="16"/>
        <v>0.01</v>
      </c>
      <c r="L71" s="30">
        <f t="shared" si="16"/>
        <v>-20</v>
      </c>
      <c r="M71" s="30">
        <f t="shared" si="16"/>
        <v>-203</v>
      </c>
      <c r="N71" s="28">
        <f t="shared" si="16"/>
        <v>-280</v>
      </c>
      <c r="O71" s="28">
        <f t="shared" si="16"/>
        <v>0</v>
      </c>
      <c r="P71" s="23"/>
      <c r="Q71" s="23"/>
      <c r="R71" s="23"/>
      <c r="S71" s="23"/>
    </row>
    <row r="72" spans="1:19">
      <c r="A72" s="20">
        <v>2087</v>
      </c>
      <c r="B72" s="23">
        <f t="shared" si="15"/>
        <v>1000</v>
      </c>
      <c r="C72" s="23">
        <f t="shared" si="15"/>
        <v>315</v>
      </c>
      <c r="D72" s="28">
        <f t="shared" si="15"/>
        <v>35</v>
      </c>
      <c r="E72" s="28">
        <f t="shared" si="15"/>
        <v>0</v>
      </c>
      <c r="F72" s="26">
        <v>0</v>
      </c>
      <c r="G72" s="29">
        <f t="shared" si="16"/>
        <v>3.18</v>
      </c>
      <c r="H72" s="27">
        <f t="shared" si="16"/>
        <v>0.12</v>
      </c>
      <c r="I72" s="27">
        <f t="shared" si="16"/>
        <v>0.28000000000000003</v>
      </c>
      <c r="J72" s="27">
        <f t="shared" si="16"/>
        <v>0.38</v>
      </c>
      <c r="K72" s="27">
        <f t="shared" si="16"/>
        <v>0.01</v>
      </c>
      <c r="L72" s="30">
        <f t="shared" si="16"/>
        <v>-20</v>
      </c>
      <c r="M72" s="30">
        <f t="shared" si="16"/>
        <v>-203</v>
      </c>
      <c r="N72" s="28">
        <f t="shared" si="16"/>
        <v>-280</v>
      </c>
      <c r="O72" s="28">
        <f t="shared" si="16"/>
        <v>0</v>
      </c>
      <c r="P72" s="23"/>
      <c r="Q72" s="23"/>
      <c r="R72" s="23"/>
      <c r="S72" s="23"/>
    </row>
    <row r="73" spans="1:19">
      <c r="A73" s="20">
        <v>2088</v>
      </c>
      <c r="B73" s="23">
        <f t="shared" si="15"/>
        <v>1000</v>
      </c>
      <c r="C73" s="23">
        <f t="shared" si="15"/>
        <v>315</v>
      </c>
      <c r="D73" s="28">
        <f t="shared" si="15"/>
        <v>35</v>
      </c>
      <c r="E73" s="28">
        <f t="shared" si="15"/>
        <v>0</v>
      </c>
      <c r="F73" s="26">
        <v>0</v>
      </c>
      <c r="G73" s="29">
        <f t="shared" si="16"/>
        <v>3.18</v>
      </c>
      <c r="H73" s="27">
        <f t="shared" si="16"/>
        <v>0.12</v>
      </c>
      <c r="I73" s="27">
        <f t="shared" si="16"/>
        <v>0.28000000000000003</v>
      </c>
      <c r="J73" s="27">
        <f t="shared" si="16"/>
        <v>0.38</v>
      </c>
      <c r="K73" s="27">
        <f t="shared" si="16"/>
        <v>0.01</v>
      </c>
      <c r="L73" s="30">
        <f t="shared" si="16"/>
        <v>-20</v>
      </c>
      <c r="M73" s="30">
        <f t="shared" si="16"/>
        <v>-203</v>
      </c>
      <c r="N73" s="28">
        <f t="shared" si="16"/>
        <v>-280</v>
      </c>
      <c r="O73" s="28">
        <f t="shared" si="16"/>
        <v>0</v>
      </c>
      <c r="P73" s="23"/>
      <c r="Q73" s="23"/>
      <c r="R73" s="23"/>
      <c r="S73" s="23"/>
    </row>
    <row r="74" spans="1:19">
      <c r="A74" s="20">
        <v>2089</v>
      </c>
      <c r="B74" s="23">
        <f t="shared" si="15"/>
        <v>1000</v>
      </c>
      <c r="C74" s="23">
        <f t="shared" si="15"/>
        <v>315</v>
      </c>
      <c r="D74" s="28">
        <f t="shared" si="15"/>
        <v>35</v>
      </c>
      <c r="E74" s="28">
        <f t="shared" si="15"/>
        <v>0</v>
      </c>
      <c r="F74" s="26">
        <v>0</v>
      </c>
      <c r="G74" s="29">
        <f t="shared" si="16"/>
        <v>3.18</v>
      </c>
      <c r="H74" s="27">
        <f t="shared" si="16"/>
        <v>0.12</v>
      </c>
      <c r="I74" s="27">
        <f t="shared" si="16"/>
        <v>0.28000000000000003</v>
      </c>
      <c r="J74" s="27">
        <f t="shared" si="16"/>
        <v>0.38</v>
      </c>
      <c r="K74" s="27">
        <f t="shared" si="16"/>
        <v>0.01</v>
      </c>
      <c r="L74" s="30">
        <f t="shared" si="16"/>
        <v>-20</v>
      </c>
      <c r="M74" s="30">
        <f t="shared" si="16"/>
        <v>-203</v>
      </c>
      <c r="N74" s="28">
        <f t="shared" si="16"/>
        <v>-280</v>
      </c>
      <c r="O74" s="28">
        <f t="shared" si="16"/>
        <v>0</v>
      </c>
      <c r="P74" s="23"/>
      <c r="Q74" s="23"/>
      <c r="R74" s="23"/>
      <c r="S74" s="23"/>
    </row>
    <row r="75" spans="1:19">
      <c r="A75" s="20">
        <v>2090</v>
      </c>
      <c r="B75" s="23">
        <f t="shared" si="15"/>
        <v>1000</v>
      </c>
      <c r="C75" s="23">
        <f t="shared" si="15"/>
        <v>315</v>
      </c>
      <c r="D75" s="28">
        <f t="shared" si="15"/>
        <v>35</v>
      </c>
      <c r="E75" s="28">
        <f t="shared" si="15"/>
        <v>0</v>
      </c>
      <c r="F75" s="26">
        <v>0</v>
      </c>
      <c r="G75" s="29">
        <f t="shared" si="16"/>
        <v>3.18</v>
      </c>
      <c r="H75" s="27">
        <f t="shared" si="16"/>
        <v>0.12</v>
      </c>
      <c r="I75" s="27">
        <f t="shared" si="16"/>
        <v>0.28000000000000003</v>
      </c>
      <c r="J75" s="27">
        <f t="shared" si="16"/>
        <v>0.38</v>
      </c>
      <c r="K75" s="27">
        <f t="shared" si="16"/>
        <v>0.01</v>
      </c>
      <c r="L75" s="30">
        <f t="shared" si="16"/>
        <v>-20</v>
      </c>
      <c r="M75" s="30">
        <f t="shared" si="16"/>
        <v>-203</v>
      </c>
      <c r="N75" s="28">
        <f t="shared" si="16"/>
        <v>-280</v>
      </c>
      <c r="O75" s="28">
        <f t="shared" si="16"/>
        <v>0</v>
      </c>
      <c r="P75" s="23"/>
      <c r="Q75" s="23"/>
      <c r="R75" s="23"/>
      <c r="S75" s="23"/>
    </row>
    <row r="76" spans="1:19">
      <c r="A76" s="20">
        <v>2091</v>
      </c>
      <c r="B76" s="23">
        <f t="shared" si="15"/>
        <v>1000</v>
      </c>
      <c r="C76" s="23">
        <f t="shared" si="15"/>
        <v>315</v>
      </c>
      <c r="D76" s="28">
        <f t="shared" si="15"/>
        <v>35</v>
      </c>
      <c r="E76" s="28">
        <f t="shared" si="15"/>
        <v>0</v>
      </c>
      <c r="F76" s="26">
        <v>0</v>
      </c>
      <c r="G76" s="29">
        <f t="shared" si="16"/>
        <v>3.18</v>
      </c>
      <c r="H76" s="27">
        <f t="shared" si="16"/>
        <v>0.12</v>
      </c>
      <c r="I76" s="27">
        <f t="shared" si="16"/>
        <v>0.28000000000000003</v>
      </c>
      <c r="J76" s="27">
        <f t="shared" si="16"/>
        <v>0.38</v>
      </c>
      <c r="K76" s="27">
        <f t="shared" si="16"/>
        <v>0.01</v>
      </c>
      <c r="L76" s="30">
        <f t="shared" si="16"/>
        <v>-20</v>
      </c>
      <c r="M76" s="30">
        <f t="shared" si="16"/>
        <v>-203</v>
      </c>
      <c r="N76" s="28">
        <f t="shared" si="16"/>
        <v>-280</v>
      </c>
      <c r="O76" s="28">
        <f t="shared" si="16"/>
        <v>0</v>
      </c>
      <c r="P76" s="23"/>
      <c r="Q76" s="23"/>
      <c r="R76" s="23"/>
      <c r="S76" s="23"/>
    </row>
    <row r="77" spans="1:19">
      <c r="A77" s="20">
        <v>2092</v>
      </c>
      <c r="B77" s="23">
        <f t="shared" si="15"/>
        <v>1000</v>
      </c>
      <c r="C77" s="23">
        <f t="shared" si="15"/>
        <v>315</v>
      </c>
      <c r="D77" s="28">
        <f t="shared" si="15"/>
        <v>35</v>
      </c>
      <c r="E77" s="28">
        <f t="shared" si="15"/>
        <v>0</v>
      </c>
      <c r="F77" s="26">
        <v>0</v>
      </c>
      <c r="G77" s="29">
        <f t="shared" si="16"/>
        <v>3.18</v>
      </c>
      <c r="H77" s="27">
        <f t="shared" si="16"/>
        <v>0.12</v>
      </c>
      <c r="I77" s="27">
        <f t="shared" si="16"/>
        <v>0.28000000000000003</v>
      </c>
      <c r="J77" s="27">
        <f t="shared" si="16"/>
        <v>0.38</v>
      </c>
      <c r="K77" s="27">
        <f t="shared" si="16"/>
        <v>0.01</v>
      </c>
      <c r="L77" s="30">
        <f t="shared" si="16"/>
        <v>-20</v>
      </c>
      <c r="M77" s="30">
        <f t="shared" si="16"/>
        <v>-203</v>
      </c>
      <c r="N77" s="28">
        <f t="shared" si="16"/>
        <v>-280</v>
      </c>
      <c r="O77" s="28">
        <f t="shared" si="16"/>
        <v>0</v>
      </c>
      <c r="P77" s="23"/>
      <c r="Q77" s="23"/>
      <c r="R77" s="23"/>
      <c r="S77" s="23"/>
    </row>
    <row r="78" spans="1:19">
      <c r="A78" s="20">
        <v>2093</v>
      </c>
      <c r="B78" s="23">
        <f t="shared" si="15"/>
        <v>1000</v>
      </c>
      <c r="C78" s="23">
        <f t="shared" si="15"/>
        <v>315</v>
      </c>
      <c r="D78" s="28">
        <f t="shared" si="15"/>
        <v>35</v>
      </c>
      <c r="E78" s="28">
        <f t="shared" si="15"/>
        <v>0</v>
      </c>
      <c r="F78" s="26">
        <v>0</v>
      </c>
      <c r="G78" s="29">
        <f t="shared" si="16"/>
        <v>3.18</v>
      </c>
      <c r="H78" s="27">
        <f t="shared" si="16"/>
        <v>0.12</v>
      </c>
      <c r="I78" s="27">
        <f t="shared" si="16"/>
        <v>0.28000000000000003</v>
      </c>
      <c r="J78" s="27">
        <f t="shared" si="16"/>
        <v>0.38</v>
      </c>
      <c r="K78" s="27">
        <f t="shared" si="16"/>
        <v>0.01</v>
      </c>
      <c r="L78" s="30">
        <f t="shared" si="16"/>
        <v>-20</v>
      </c>
      <c r="M78" s="30">
        <f t="shared" si="16"/>
        <v>-203</v>
      </c>
      <c r="N78" s="28">
        <f t="shared" si="16"/>
        <v>-280</v>
      </c>
      <c r="O78" s="28">
        <f t="shared" si="16"/>
        <v>0</v>
      </c>
      <c r="P78" s="23"/>
      <c r="Q78" s="23"/>
      <c r="R78" s="23"/>
      <c r="S78" s="23"/>
    </row>
    <row r="79" spans="1:19">
      <c r="A79" s="20">
        <v>2094</v>
      </c>
      <c r="B79" s="23">
        <f t="shared" si="15"/>
        <v>1000</v>
      </c>
      <c r="C79" s="23">
        <f t="shared" si="15"/>
        <v>315</v>
      </c>
      <c r="D79" s="28">
        <f t="shared" si="15"/>
        <v>35</v>
      </c>
      <c r="E79" s="28">
        <f t="shared" si="15"/>
        <v>0</v>
      </c>
      <c r="F79" s="26">
        <v>0</v>
      </c>
      <c r="G79" s="29">
        <f t="shared" si="16"/>
        <v>3.18</v>
      </c>
      <c r="H79" s="27">
        <f t="shared" si="16"/>
        <v>0.12</v>
      </c>
      <c r="I79" s="27">
        <f t="shared" si="16"/>
        <v>0.28000000000000003</v>
      </c>
      <c r="J79" s="27">
        <f t="shared" si="16"/>
        <v>0.38</v>
      </c>
      <c r="K79" s="27">
        <f t="shared" si="16"/>
        <v>0.01</v>
      </c>
      <c r="L79" s="30">
        <f t="shared" si="16"/>
        <v>-20</v>
      </c>
      <c r="M79" s="30">
        <f t="shared" si="16"/>
        <v>-203</v>
      </c>
      <c r="N79" s="28">
        <f t="shared" si="16"/>
        <v>-280</v>
      </c>
      <c r="O79" s="28">
        <f t="shared" si="16"/>
        <v>0</v>
      </c>
      <c r="P79" s="23"/>
      <c r="Q79" s="23"/>
      <c r="R79" s="23"/>
      <c r="S79" s="23"/>
    </row>
    <row r="80" spans="1:19">
      <c r="A80" s="20">
        <v>2095</v>
      </c>
      <c r="B80" s="23">
        <f t="shared" si="15"/>
        <v>1000</v>
      </c>
      <c r="C80" s="23">
        <f t="shared" si="15"/>
        <v>315</v>
      </c>
      <c r="D80" s="28">
        <f t="shared" si="15"/>
        <v>35</v>
      </c>
      <c r="E80" s="28">
        <f t="shared" si="15"/>
        <v>0</v>
      </c>
      <c r="F80" s="26">
        <v>0</v>
      </c>
      <c r="G80" s="29">
        <f t="shared" si="16"/>
        <v>3.18</v>
      </c>
      <c r="H80" s="27">
        <f t="shared" si="16"/>
        <v>0.12</v>
      </c>
      <c r="I80" s="27">
        <f t="shared" si="16"/>
        <v>0.28000000000000003</v>
      </c>
      <c r="J80" s="27">
        <f t="shared" si="16"/>
        <v>0.38</v>
      </c>
      <c r="K80" s="27">
        <f t="shared" si="16"/>
        <v>0.01</v>
      </c>
      <c r="L80" s="30">
        <f t="shared" si="16"/>
        <v>-20</v>
      </c>
      <c r="M80" s="30">
        <f t="shared" si="16"/>
        <v>-203</v>
      </c>
      <c r="N80" s="28">
        <f t="shared" si="16"/>
        <v>-280</v>
      </c>
      <c r="O80" s="28">
        <f t="shared" si="16"/>
        <v>0</v>
      </c>
      <c r="P80" s="23"/>
      <c r="Q80" s="23"/>
      <c r="R80" s="23"/>
      <c r="S80" s="23"/>
    </row>
    <row r="81" spans="1:19">
      <c r="A81" s="20">
        <v>2096</v>
      </c>
      <c r="B81" s="23">
        <f t="shared" si="15"/>
        <v>1000</v>
      </c>
      <c r="C81" s="23">
        <f t="shared" si="15"/>
        <v>315</v>
      </c>
      <c r="D81" s="28">
        <f t="shared" si="15"/>
        <v>35</v>
      </c>
      <c r="E81" s="28">
        <f t="shared" si="15"/>
        <v>0</v>
      </c>
      <c r="F81" s="26">
        <v>0</v>
      </c>
      <c r="G81" s="29">
        <f t="shared" si="16"/>
        <v>3.18</v>
      </c>
      <c r="H81" s="27">
        <f t="shared" si="16"/>
        <v>0.12</v>
      </c>
      <c r="I81" s="27">
        <f t="shared" si="16"/>
        <v>0.28000000000000003</v>
      </c>
      <c r="J81" s="27">
        <f t="shared" si="16"/>
        <v>0.38</v>
      </c>
      <c r="K81" s="27">
        <f t="shared" si="16"/>
        <v>0.01</v>
      </c>
      <c r="L81" s="30">
        <f t="shared" si="16"/>
        <v>-20</v>
      </c>
      <c r="M81" s="30">
        <f t="shared" si="16"/>
        <v>-203</v>
      </c>
      <c r="N81" s="28">
        <f t="shared" si="16"/>
        <v>-280</v>
      </c>
      <c r="O81" s="28">
        <f t="shared" si="16"/>
        <v>0</v>
      </c>
      <c r="P81" s="23"/>
      <c r="Q81" s="23"/>
      <c r="R81" s="23"/>
      <c r="S81" s="23"/>
    </row>
    <row r="82" spans="1:19">
      <c r="A82" s="20">
        <v>2097</v>
      </c>
      <c r="B82" s="23">
        <f t="shared" si="15"/>
        <v>1000</v>
      </c>
      <c r="C82" s="23">
        <f t="shared" si="15"/>
        <v>315</v>
      </c>
      <c r="D82" s="28">
        <f t="shared" si="15"/>
        <v>35</v>
      </c>
      <c r="E82" s="28">
        <f t="shared" si="15"/>
        <v>0</v>
      </c>
      <c r="F82" s="26">
        <v>0</v>
      </c>
      <c r="G82" s="29">
        <f t="shared" si="16"/>
        <v>3.18</v>
      </c>
      <c r="H82" s="27">
        <f t="shared" si="16"/>
        <v>0.12</v>
      </c>
      <c r="I82" s="27">
        <f t="shared" si="16"/>
        <v>0.28000000000000003</v>
      </c>
      <c r="J82" s="27">
        <f t="shared" si="16"/>
        <v>0.38</v>
      </c>
      <c r="K82" s="27">
        <f t="shared" si="16"/>
        <v>0.01</v>
      </c>
      <c r="L82" s="30">
        <f t="shared" si="16"/>
        <v>-20</v>
      </c>
      <c r="M82" s="30">
        <f t="shared" si="16"/>
        <v>-203</v>
      </c>
      <c r="N82" s="28">
        <f t="shared" si="16"/>
        <v>-280</v>
      </c>
      <c r="O82" s="28">
        <f t="shared" si="16"/>
        <v>0</v>
      </c>
      <c r="P82" s="23"/>
      <c r="Q82" s="23"/>
      <c r="R82" s="23"/>
      <c r="S82" s="23"/>
    </row>
    <row r="83" spans="1:19">
      <c r="A83" s="20">
        <v>2098</v>
      </c>
      <c r="B83" s="23">
        <f t="shared" si="15"/>
        <v>1000</v>
      </c>
      <c r="C83" s="23">
        <f t="shared" si="15"/>
        <v>315</v>
      </c>
      <c r="D83" s="28">
        <f t="shared" si="15"/>
        <v>35</v>
      </c>
      <c r="E83" s="28">
        <f t="shared" si="15"/>
        <v>0</v>
      </c>
      <c r="F83" s="26">
        <v>0</v>
      </c>
      <c r="G83" s="29">
        <f t="shared" si="16"/>
        <v>3.18</v>
      </c>
      <c r="H83" s="27">
        <f t="shared" si="16"/>
        <v>0.12</v>
      </c>
      <c r="I83" s="27">
        <f t="shared" si="16"/>
        <v>0.28000000000000003</v>
      </c>
      <c r="J83" s="27">
        <f t="shared" si="16"/>
        <v>0.38</v>
      </c>
      <c r="K83" s="27">
        <f t="shared" si="16"/>
        <v>0.01</v>
      </c>
      <c r="L83" s="30">
        <f t="shared" si="16"/>
        <v>-20</v>
      </c>
      <c r="M83" s="30">
        <f t="shared" si="16"/>
        <v>-203</v>
      </c>
      <c r="N83" s="28">
        <f t="shared" si="16"/>
        <v>-280</v>
      </c>
      <c r="O83" s="28">
        <f t="shared" si="16"/>
        <v>0</v>
      </c>
      <c r="P83" s="23"/>
      <c r="Q83" s="23"/>
      <c r="R83" s="23"/>
      <c r="S83" s="23"/>
    </row>
    <row r="84" spans="1:19">
      <c r="A84" s="20">
        <v>2099</v>
      </c>
      <c r="B84" s="23">
        <f t="shared" si="15"/>
        <v>1000</v>
      </c>
      <c r="C84" s="23">
        <f t="shared" si="15"/>
        <v>315</v>
      </c>
      <c r="D84" s="28">
        <f t="shared" si="15"/>
        <v>35</v>
      </c>
      <c r="E84" s="28">
        <f t="shared" si="15"/>
        <v>0</v>
      </c>
      <c r="F84" s="26">
        <v>0</v>
      </c>
      <c r="G84" s="29">
        <f t="shared" si="16"/>
        <v>3.18</v>
      </c>
      <c r="H84" s="27">
        <f t="shared" si="16"/>
        <v>0.12</v>
      </c>
      <c r="I84" s="27">
        <f t="shared" si="16"/>
        <v>0.28000000000000003</v>
      </c>
      <c r="J84" s="27">
        <f t="shared" si="16"/>
        <v>0.38</v>
      </c>
      <c r="K84" s="27">
        <f t="shared" si="16"/>
        <v>0.01</v>
      </c>
      <c r="L84" s="30">
        <f t="shared" si="16"/>
        <v>-20</v>
      </c>
      <c r="M84" s="30">
        <f t="shared" si="16"/>
        <v>-203</v>
      </c>
      <c r="N84" s="28">
        <f t="shared" si="16"/>
        <v>-280</v>
      </c>
      <c r="O84" s="28">
        <f t="shared" si="16"/>
        <v>0</v>
      </c>
      <c r="P84" s="23"/>
      <c r="Q84" s="23"/>
      <c r="R84" s="23"/>
      <c r="S84" s="23"/>
    </row>
    <row r="85" spans="1:19">
      <c r="A85" s="20">
        <v>2100</v>
      </c>
      <c r="B85" s="23">
        <f t="shared" ref="B85:E85" si="17">B84</f>
        <v>1000</v>
      </c>
      <c r="C85" s="23">
        <f t="shared" si="17"/>
        <v>315</v>
      </c>
      <c r="D85" s="28">
        <f t="shared" si="17"/>
        <v>35</v>
      </c>
      <c r="E85" s="28">
        <f t="shared" si="17"/>
        <v>0</v>
      </c>
      <c r="F85" s="26">
        <v>0</v>
      </c>
      <c r="G85" s="29">
        <f t="shared" si="16"/>
        <v>3.18</v>
      </c>
      <c r="H85" s="27">
        <f t="shared" si="16"/>
        <v>0.12</v>
      </c>
      <c r="I85" s="27">
        <f t="shared" si="16"/>
        <v>0.28000000000000003</v>
      </c>
      <c r="J85" s="27">
        <f t="shared" si="16"/>
        <v>0.38</v>
      </c>
      <c r="K85" s="27">
        <f t="shared" si="16"/>
        <v>0.01</v>
      </c>
      <c r="L85" s="30">
        <f t="shared" si="16"/>
        <v>-20</v>
      </c>
      <c r="M85" s="30">
        <f t="shared" si="16"/>
        <v>-203</v>
      </c>
      <c r="N85" s="28">
        <f t="shared" si="16"/>
        <v>-280</v>
      </c>
      <c r="O85" s="28">
        <f t="shared" si="16"/>
        <v>0</v>
      </c>
      <c r="P85" s="23"/>
      <c r="Q85" s="23"/>
      <c r="R85" s="23"/>
      <c r="S85" s="23"/>
    </row>
    <row r="86" spans="1:19">
      <c r="A86" s="20"/>
      <c r="B86" s="23"/>
      <c r="C86" s="23"/>
      <c r="D86" s="20"/>
      <c r="E86" s="20"/>
      <c r="F86" s="20"/>
      <c r="G86" s="20"/>
      <c r="H86" s="20"/>
      <c r="I86" s="20"/>
      <c r="J86" s="20"/>
      <c r="K86" s="20"/>
      <c r="L86" s="26"/>
      <c r="M86" s="26"/>
      <c r="N86" s="23"/>
      <c r="O86" s="23"/>
      <c r="P86" s="23"/>
      <c r="Q86" s="23"/>
      <c r="R86" s="23"/>
      <c r="S86" s="23"/>
    </row>
  </sheetData>
  <mergeCells count="1">
    <mergeCell ref="P20:R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4EF0B-4042-4779-82CE-4B05AD3AA32F}">
  <dimension ref="A1:J86"/>
  <sheetViews>
    <sheetView tabSelected="1" workbookViewId="0">
      <selection activeCell="B5" sqref="B5:J9"/>
    </sheetView>
  </sheetViews>
  <sheetFormatPr defaultColWidth="9.140625" defaultRowHeight="15"/>
  <cols>
    <col min="3" max="3" width="18.5703125" bestFit="1" customWidth="1"/>
    <col min="6" max="6" width="22.7109375" customWidth="1"/>
    <col min="7" max="8" width="18.42578125" bestFit="1" customWidth="1"/>
  </cols>
  <sheetData>
    <row r="1" spans="1:10">
      <c r="A1" s="13" t="s">
        <v>0</v>
      </c>
      <c r="B1" s="31" t="s">
        <v>50</v>
      </c>
      <c r="C1" s="31" t="s">
        <v>51</v>
      </c>
      <c r="D1" s="13" t="s">
        <v>1</v>
      </c>
      <c r="E1" s="13" t="s">
        <v>2</v>
      </c>
      <c r="F1" s="13" t="s">
        <v>52</v>
      </c>
      <c r="G1" s="13" t="s">
        <v>53</v>
      </c>
      <c r="H1" s="13" t="s">
        <v>53</v>
      </c>
      <c r="I1" s="13" t="s">
        <v>38</v>
      </c>
      <c r="J1" s="13" t="s">
        <v>38</v>
      </c>
    </row>
    <row r="2" spans="1:10">
      <c r="A2" s="13" t="s">
        <v>20</v>
      </c>
      <c r="B2" s="24" t="s">
        <v>17</v>
      </c>
      <c r="C2" s="24" t="s">
        <v>17</v>
      </c>
      <c r="D2" s="24" t="s">
        <v>17</v>
      </c>
      <c r="E2" s="24" t="s">
        <v>17</v>
      </c>
      <c r="F2" s="24" t="s">
        <v>17</v>
      </c>
      <c r="G2" s="13" t="s">
        <v>21</v>
      </c>
      <c r="H2" s="13" t="s">
        <v>22</v>
      </c>
      <c r="I2" s="13" t="s">
        <v>21</v>
      </c>
      <c r="J2" s="18" t="s">
        <v>22</v>
      </c>
    </row>
    <row r="3" spans="1:10">
      <c r="A3" s="19" t="s">
        <v>11</v>
      </c>
      <c r="B3" s="32" t="s">
        <v>39</v>
      </c>
      <c r="C3" s="32" t="s">
        <v>41</v>
      </c>
      <c r="D3" s="19" t="s">
        <v>40</v>
      </c>
      <c r="E3" s="19" t="s">
        <v>40</v>
      </c>
      <c r="F3" s="33" t="s">
        <v>42</v>
      </c>
      <c r="G3" s="33" t="s">
        <v>42</v>
      </c>
      <c r="H3" s="33" t="s">
        <v>42</v>
      </c>
      <c r="I3" s="33" t="s">
        <v>42</v>
      </c>
      <c r="J3" s="33" t="s">
        <v>42</v>
      </c>
    </row>
    <row r="4" spans="1:10">
      <c r="A4" s="21" t="s">
        <v>23</v>
      </c>
      <c r="B4" s="23"/>
      <c r="C4" s="23"/>
      <c r="D4" s="23"/>
      <c r="E4" s="23"/>
      <c r="F4" s="23"/>
      <c r="G4" s="23"/>
      <c r="H4" s="23"/>
      <c r="I4" s="23"/>
      <c r="J4" s="23"/>
    </row>
    <row r="5" spans="1:10">
      <c r="A5" s="21">
        <v>2020</v>
      </c>
      <c r="B5" s="23">
        <v>0</v>
      </c>
      <c r="C5" s="23">
        <v>0</v>
      </c>
      <c r="D5" s="23">
        <v>0</v>
      </c>
      <c r="E5" s="23">
        <v>0</v>
      </c>
      <c r="F5" s="23">
        <v>0</v>
      </c>
      <c r="G5" s="23">
        <v>0</v>
      </c>
      <c r="H5" s="23">
        <v>0</v>
      </c>
      <c r="I5" s="23">
        <v>0</v>
      </c>
      <c r="J5" s="23">
        <v>0</v>
      </c>
    </row>
    <row r="6" spans="1:10">
      <c r="A6" s="21">
        <v>2021</v>
      </c>
      <c r="B6" s="23">
        <v>0</v>
      </c>
      <c r="C6" s="23">
        <v>0</v>
      </c>
      <c r="D6" s="23">
        <v>0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</row>
    <row r="7" spans="1:10">
      <c r="A7" s="21">
        <v>2022</v>
      </c>
      <c r="B7" s="23">
        <v>0</v>
      </c>
      <c r="C7" s="23">
        <v>0</v>
      </c>
      <c r="D7" s="23">
        <v>0</v>
      </c>
      <c r="E7" s="23">
        <v>0</v>
      </c>
      <c r="F7" s="23">
        <v>0</v>
      </c>
      <c r="G7" s="23">
        <v>0</v>
      </c>
      <c r="H7" s="23">
        <v>0</v>
      </c>
      <c r="I7" s="23">
        <v>0</v>
      </c>
      <c r="J7" s="23">
        <v>0</v>
      </c>
    </row>
    <row r="8" spans="1:10">
      <c r="A8" s="21">
        <v>2023</v>
      </c>
      <c r="B8" s="23">
        <v>0</v>
      </c>
      <c r="C8" s="23">
        <v>0</v>
      </c>
      <c r="D8" s="23">
        <v>0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</row>
    <row r="9" spans="1:10">
      <c r="A9" s="21">
        <v>2024</v>
      </c>
      <c r="B9" s="23">
        <v>0</v>
      </c>
      <c r="C9" s="23">
        <v>0</v>
      </c>
      <c r="D9" s="23">
        <v>0</v>
      </c>
      <c r="E9" s="23">
        <v>0</v>
      </c>
      <c r="F9" s="23">
        <v>0</v>
      </c>
      <c r="G9" s="23">
        <v>0</v>
      </c>
      <c r="H9" s="23">
        <v>0</v>
      </c>
      <c r="I9" s="23">
        <v>0</v>
      </c>
      <c r="J9" s="23">
        <v>0</v>
      </c>
    </row>
    <row r="10" spans="1:10">
      <c r="A10" s="20">
        <v>2025</v>
      </c>
      <c r="B10" s="23">
        <v>0</v>
      </c>
      <c r="C10" s="23">
        <v>0</v>
      </c>
      <c r="D10" s="23">
        <v>0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</row>
    <row r="11" spans="1:10">
      <c r="A11" s="20">
        <v>2026</v>
      </c>
      <c r="B11" s="23">
        <v>0</v>
      </c>
      <c r="C11" s="23">
        <v>0</v>
      </c>
      <c r="D11" s="23">
        <v>0</v>
      </c>
      <c r="E11" s="23">
        <v>0</v>
      </c>
      <c r="F11" s="23">
        <v>0</v>
      </c>
      <c r="G11" s="23">
        <v>0</v>
      </c>
      <c r="H11" s="23">
        <v>0</v>
      </c>
      <c r="I11" s="23">
        <v>0</v>
      </c>
      <c r="J11" s="23">
        <v>0</v>
      </c>
    </row>
    <row r="12" spans="1:10">
      <c r="A12" s="20">
        <v>2027</v>
      </c>
      <c r="B12" s="23">
        <v>0</v>
      </c>
      <c r="C12" s="23">
        <v>0</v>
      </c>
      <c r="D12" s="23">
        <v>0</v>
      </c>
      <c r="E12" s="23">
        <v>0</v>
      </c>
      <c r="F12" s="23">
        <v>0</v>
      </c>
      <c r="G12" s="23">
        <v>0</v>
      </c>
      <c r="H12" s="23">
        <v>0</v>
      </c>
      <c r="I12" s="23">
        <v>0</v>
      </c>
      <c r="J12" s="23">
        <v>0</v>
      </c>
    </row>
    <row r="13" spans="1:10">
      <c r="A13" s="20">
        <v>2028</v>
      </c>
      <c r="B13" s="23">
        <v>0</v>
      </c>
      <c r="C13" s="23">
        <v>0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</row>
    <row r="14" spans="1:10">
      <c r="A14" s="20">
        <v>2029</v>
      </c>
      <c r="B14" s="23">
        <v>0</v>
      </c>
      <c r="C14" s="23">
        <v>0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0</v>
      </c>
    </row>
    <row r="15" spans="1:10">
      <c r="A15" s="20">
        <v>2030</v>
      </c>
      <c r="B15" s="23">
        <v>0</v>
      </c>
      <c r="C15" s="23">
        <v>0</v>
      </c>
      <c r="D15" s="23">
        <v>0</v>
      </c>
      <c r="E15" s="23">
        <v>0</v>
      </c>
      <c r="F15" s="23">
        <v>0</v>
      </c>
      <c r="G15" s="23">
        <v>0</v>
      </c>
      <c r="H15" s="23">
        <v>0</v>
      </c>
      <c r="I15" s="23">
        <v>0</v>
      </c>
      <c r="J15" s="23">
        <v>0</v>
      </c>
    </row>
    <row r="16" spans="1:10">
      <c r="A16" s="20">
        <v>2031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23">
        <v>0</v>
      </c>
      <c r="I16" s="23">
        <v>0</v>
      </c>
      <c r="J16" s="23">
        <v>0</v>
      </c>
    </row>
    <row r="17" spans="1:10">
      <c r="A17" s="20">
        <v>2032</v>
      </c>
      <c r="B17" s="23">
        <v>0</v>
      </c>
      <c r="C17" s="23">
        <v>0</v>
      </c>
      <c r="D17" s="23">
        <v>0</v>
      </c>
      <c r="E17" s="23">
        <v>0</v>
      </c>
      <c r="F17" s="23">
        <v>0</v>
      </c>
      <c r="G17" s="23">
        <v>0</v>
      </c>
      <c r="H17" s="23">
        <v>0</v>
      </c>
      <c r="I17" s="23">
        <v>0</v>
      </c>
      <c r="J17" s="23">
        <v>0</v>
      </c>
    </row>
    <row r="18" spans="1:10">
      <c r="A18" s="20">
        <v>2033</v>
      </c>
      <c r="B18" s="23">
        <v>0</v>
      </c>
      <c r="C18" s="23">
        <v>0</v>
      </c>
      <c r="D18" s="23">
        <v>0</v>
      </c>
      <c r="E18" s="23">
        <v>0</v>
      </c>
      <c r="F18" s="23">
        <v>0</v>
      </c>
      <c r="G18" s="23">
        <v>0</v>
      </c>
      <c r="H18" s="23">
        <v>0</v>
      </c>
      <c r="I18" s="23">
        <v>0</v>
      </c>
      <c r="J18" s="23">
        <v>0</v>
      </c>
    </row>
    <row r="19" spans="1:10">
      <c r="A19" s="20">
        <v>2034</v>
      </c>
      <c r="B19" s="23">
        <v>0</v>
      </c>
      <c r="C19" s="23">
        <v>0</v>
      </c>
      <c r="D19" s="23">
        <v>0</v>
      </c>
      <c r="E19" s="23">
        <v>0</v>
      </c>
      <c r="F19" s="23">
        <v>0</v>
      </c>
      <c r="G19" s="23">
        <v>0</v>
      </c>
      <c r="H19" s="23">
        <v>0</v>
      </c>
      <c r="I19" s="23">
        <v>0</v>
      </c>
      <c r="J19" s="23">
        <v>0</v>
      </c>
    </row>
    <row r="20" spans="1:10">
      <c r="A20" s="20">
        <v>2035</v>
      </c>
      <c r="B20" s="28">
        <f>((C20*1000*16)/3600)*0.85</f>
        <v>419.371839293123</v>
      </c>
      <c r="C20" s="28">
        <f>D20*8.8</f>
        <v>111.01019275406196</v>
      </c>
      <c r="D20" s="28">
        <f>D25/6</f>
        <v>12.614794631143404</v>
      </c>
      <c r="E20" s="28">
        <f>D20</f>
        <v>12.614794631143404</v>
      </c>
      <c r="F20" s="28">
        <f>-(((((8.8/2)*1.5)-2)*3.67)/20)*D20</f>
        <v>-10.648148148148149</v>
      </c>
      <c r="G20" s="30">
        <f>-B20*0.255*0.1</f>
        <v>-10.693981901974638</v>
      </c>
      <c r="H20" s="23">
        <v>0</v>
      </c>
      <c r="I20" s="28">
        <f>I25/6</f>
        <v>166.66666666666666</v>
      </c>
      <c r="J20" s="23">
        <v>0</v>
      </c>
    </row>
    <row r="21" spans="1:10">
      <c r="A21" s="20">
        <v>2036</v>
      </c>
      <c r="B21" s="28">
        <f t="shared" ref="B21:B84" si="0">((C21*1000*16)/3600)*0.85</f>
        <v>838.74367858624601</v>
      </c>
      <c r="C21" s="28">
        <f t="shared" ref="C21:C84" si="1">D21*8.8</f>
        <v>222.02038550812392</v>
      </c>
      <c r="D21" s="28">
        <f>D20+(D$25/6)</f>
        <v>25.229589262286808</v>
      </c>
      <c r="E21" s="28">
        <f t="shared" ref="E21:E24" si="2">D21</f>
        <v>25.229589262286808</v>
      </c>
      <c r="F21" s="28">
        <f t="shared" ref="F21:F44" si="3">-(((((8.8/2)*1.5)-2)*3.67)/20)*D21</f>
        <v>-21.296296296296298</v>
      </c>
      <c r="G21" s="30">
        <f t="shared" ref="G21:G84" si="4">-B21*0.255*0.1</f>
        <v>-21.387963803949276</v>
      </c>
      <c r="H21" s="23">
        <v>0</v>
      </c>
      <c r="I21" s="28">
        <f>I20+(I$25/6)</f>
        <v>333.33333333333331</v>
      </c>
      <c r="J21" s="23">
        <v>0</v>
      </c>
    </row>
    <row r="22" spans="1:10">
      <c r="A22" s="20">
        <v>2037</v>
      </c>
      <c r="B22" s="28">
        <f t="shared" si="0"/>
        <v>1258.115517879369</v>
      </c>
      <c r="C22" s="28">
        <f t="shared" si="1"/>
        <v>333.03057826218588</v>
      </c>
      <c r="D22" s="28">
        <f>D21+(D$25/6)</f>
        <v>37.844383893430212</v>
      </c>
      <c r="E22" s="28">
        <f t="shared" si="2"/>
        <v>37.844383893430212</v>
      </c>
      <c r="F22" s="28">
        <f t="shared" si="3"/>
        <v>-31.944444444444446</v>
      </c>
      <c r="G22" s="30">
        <f t="shared" si="4"/>
        <v>-32.081945705923907</v>
      </c>
      <c r="H22" s="23">
        <v>0</v>
      </c>
      <c r="I22" s="28">
        <f t="shared" ref="I22:I24" si="5">I21+(I$25/6)</f>
        <v>500</v>
      </c>
      <c r="J22" s="23">
        <v>0</v>
      </c>
    </row>
    <row r="23" spans="1:10">
      <c r="A23" s="20">
        <v>2038</v>
      </c>
      <c r="B23" s="28">
        <f t="shared" si="0"/>
        <v>1677.487357172492</v>
      </c>
      <c r="C23" s="28">
        <f t="shared" si="1"/>
        <v>444.04077101624785</v>
      </c>
      <c r="D23" s="28">
        <f>D22+(D$25/6)</f>
        <v>50.459178524573616</v>
      </c>
      <c r="E23" s="28">
        <f t="shared" si="2"/>
        <v>50.459178524573616</v>
      </c>
      <c r="F23" s="28">
        <f t="shared" si="3"/>
        <v>-42.592592592592595</v>
      </c>
      <c r="G23" s="30">
        <f t="shared" si="4"/>
        <v>-42.775927607898552</v>
      </c>
      <c r="H23" s="23">
        <v>0</v>
      </c>
      <c r="I23" s="28">
        <f t="shared" si="5"/>
        <v>666.66666666666663</v>
      </c>
      <c r="J23" s="23">
        <v>0</v>
      </c>
    </row>
    <row r="24" spans="1:10">
      <c r="A24" s="20">
        <v>2039</v>
      </c>
      <c r="B24" s="28">
        <f t="shared" si="0"/>
        <v>2096.8591964656148</v>
      </c>
      <c r="C24" s="28">
        <f t="shared" si="1"/>
        <v>555.05096377030986</v>
      </c>
      <c r="D24" s="28">
        <f>D23+(D$25/6)</f>
        <v>63.07397315571702</v>
      </c>
      <c r="E24" s="28">
        <f t="shared" si="2"/>
        <v>63.07397315571702</v>
      </c>
      <c r="F24" s="28">
        <f t="shared" si="3"/>
        <v>-53.24074074074074</v>
      </c>
      <c r="G24" s="30">
        <f t="shared" si="4"/>
        <v>-53.469909509873176</v>
      </c>
      <c r="H24" s="23">
        <v>0</v>
      </c>
      <c r="I24" s="28">
        <f t="shared" si="5"/>
        <v>833.33333333333326</v>
      </c>
      <c r="J24" s="23">
        <v>0</v>
      </c>
    </row>
    <row r="25" spans="1:10">
      <c r="A25" s="20">
        <v>2040</v>
      </c>
      <c r="B25" s="28">
        <f t="shared" si="0"/>
        <v>2516.231035758738</v>
      </c>
      <c r="C25" s="28">
        <f t="shared" si="1"/>
        <v>666.06115652437177</v>
      </c>
      <c r="D25" s="28">
        <f>((((I25/0.9)/3.67)*2))/8</f>
        <v>75.688767786860424</v>
      </c>
      <c r="E25" s="28">
        <f>D25</f>
        <v>75.688767786860424</v>
      </c>
      <c r="F25" s="28">
        <f t="shared" si="3"/>
        <v>-63.888888888888893</v>
      </c>
      <c r="G25" s="30">
        <f t="shared" si="4"/>
        <v>-64.163891411847814</v>
      </c>
      <c r="H25" s="23">
        <v>0</v>
      </c>
      <c r="I25" s="28">
        <v>1000</v>
      </c>
      <c r="J25" s="23">
        <v>0</v>
      </c>
    </row>
    <row r="26" spans="1:10">
      <c r="A26" s="20">
        <v>2041</v>
      </c>
      <c r="B26" s="28">
        <f t="shared" si="0"/>
        <v>2516.231035758738</v>
      </c>
      <c r="C26" s="28">
        <f t="shared" si="1"/>
        <v>666.06115652437177</v>
      </c>
      <c r="D26" s="28">
        <f>D25</f>
        <v>75.688767786860424</v>
      </c>
      <c r="E26" s="28">
        <f>E25</f>
        <v>75.688767786860424</v>
      </c>
      <c r="F26" s="28">
        <f t="shared" si="3"/>
        <v>-63.888888888888893</v>
      </c>
      <c r="G26" s="30">
        <f t="shared" si="4"/>
        <v>-64.163891411847814</v>
      </c>
      <c r="H26" s="23">
        <v>0</v>
      </c>
      <c r="I26" s="28">
        <v>1000</v>
      </c>
      <c r="J26" s="23">
        <v>0</v>
      </c>
    </row>
    <row r="27" spans="1:10">
      <c r="A27" s="20">
        <v>2042</v>
      </c>
      <c r="B27" s="28">
        <f t="shared" si="0"/>
        <v>2516.231035758738</v>
      </c>
      <c r="C27" s="28">
        <f t="shared" si="1"/>
        <v>666.06115652437177</v>
      </c>
      <c r="D27" s="28">
        <f t="shared" ref="D27:E42" si="6">D26</f>
        <v>75.688767786860424</v>
      </c>
      <c r="E27" s="28">
        <f t="shared" si="6"/>
        <v>75.688767786860424</v>
      </c>
      <c r="F27" s="28">
        <f t="shared" si="3"/>
        <v>-63.888888888888893</v>
      </c>
      <c r="G27" s="30">
        <f t="shared" si="4"/>
        <v>-64.163891411847814</v>
      </c>
      <c r="H27" s="23">
        <v>0</v>
      </c>
      <c r="I27" s="28">
        <v>1000</v>
      </c>
      <c r="J27" s="23">
        <v>0</v>
      </c>
    </row>
    <row r="28" spans="1:10">
      <c r="A28" s="20">
        <v>2043</v>
      </c>
      <c r="B28" s="28">
        <f t="shared" si="0"/>
        <v>2516.231035758738</v>
      </c>
      <c r="C28" s="28">
        <f t="shared" si="1"/>
        <v>666.06115652437177</v>
      </c>
      <c r="D28" s="28">
        <f t="shared" si="6"/>
        <v>75.688767786860424</v>
      </c>
      <c r="E28" s="28">
        <f t="shared" si="6"/>
        <v>75.688767786860424</v>
      </c>
      <c r="F28" s="28">
        <f t="shared" si="3"/>
        <v>-63.888888888888893</v>
      </c>
      <c r="G28" s="30">
        <f t="shared" si="4"/>
        <v>-64.163891411847814</v>
      </c>
      <c r="H28" s="23">
        <v>0</v>
      </c>
      <c r="I28" s="28">
        <v>1000</v>
      </c>
      <c r="J28" s="23">
        <v>0</v>
      </c>
    </row>
    <row r="29" spans="1:10">
      <c r="A29" s="20">
        <v>2044</v>
      </c>
      <c r="B29" s="28">
        <f t="shared" si="0"/>
        <v>2516.231035758738</v>
      </c>
      <c r="C29" s="28">
        <f t="shared" si="1"/>
        <v>666.06115652437177</v>
      </c>
      <c r="D29" s="28">
        <f t="shared" si="6"/>
        <v>75.688767786860424</v>
      </c>
      <c r="E29" s="28">
        <f t="shared" si="6"/>
        <v>75.688767786860424</v>
      </c>
      <c r="F29" s="28">
        <f t="shared" si="3"/>
        <v>-63.888888888888893</v>
      </c>
      <c r="G29" s="30">
        <f t="shared" si="4"/>
        <v>-64.163891411847814</v>
      </c>
      <c r="H29" s="23">
        <v>0</v>
      </c>
      <c r="I29" s="28">
        <v>1000</v>
      </c>
      <c r="J29" s="23">
        <v>0</v>
      </c>
    </row>
    <row r="30" spans="1:10">
      <c r="A30" s="20">
        <v>2045</v>
      </c>
      <c r="B30" s="28">
        <f t="shared" si="0"/>
        <v>2516.231035758738</v>
      </c>
      <c r="C30" s="28">
        <f t="shared" si="1"/>
        <v>666.06115652437177</v>
      </c>
      <c r="D30" s="28">
        <f t="shared" si="6"/>
        <v>75.688767786860424</v>
      </c>
      <c r="E30" s="28">
        <f t="shared" si="6"/>
        <v>75.688767786860424</v>
      </c>
      <c r="F30" s="28">
        <f t="shared" si="3"/>
        <v>-63.888888888888893</v>
      </c>
      <c r="G30" s="30">
        <f t="shared" si="4"/>
        <v>-64.163891411847814</v>
      </c>
      <c r="H30" s="23">
        <v>0</v>
      </c>
      <c r="I30" s="28">
        <v>1000</v>
      </c>
      <c r="J30" s="23">
        <v>0</v>
      </c>
    </row>
    <row r="31" spans="1:10">
      <c r="A31" s="20">
        <v>2046</v>
      </c>
      <c r="B31" s="28">
        <f t="shared" si="0"/>
        <v>2516.231035758738</v>
      </c>
      <c r="C31" s="28">
        <f t="shared" si="1"/>
        <v>666.06115652437177</v>
      </c>
      <c r="D31" s="28">
        <f t="shared" si="6"/>
        <v>75.688767786860424</v>
      </c>
      <c r="E31" s="28">
        <f t="shared" si="6"/>
        <v>75.688767786860424</v>
      </c>
      <c r="F31" s="28">
        <f t="shared" si="3"/>
        <v>-63.888888888888893</v>
      </c>
      <c r="G31" s="30">
        <f t="shared" si="4"/>
        <v>-64.163891411847814</v>
      </c>
      <c r="H31" s="23">
        <v>0</v>
      </c>
      <c r="I31" s="28">
        <v>1000</v>
      </c>
      <c r="J31" s="23">
        <v>0</v>
      </c>
    </row>
    <row r="32" spans="1:10">
      <c r="A32" s="20">
        <v>2047</v>
      </c>
      <c r="B32" s="28">
        <f t="shared" si="0"/>
        <v>2516.231035758738</v>
      </c>
      <c r="C32" s="28">
        <f t="shared" si="1"/>
        <v>666.06115652437177</v>
      </c>
      <c r="D32" s="28">
        <f t="shared" si="6"/>
        <v>75.688767786860424</v>
      </c>
      <c r="E32" s="28">
        <f t="shared" si="6"/>
        <v>75.688767786860424</v>
      </c>
      <c r="F32" s="28">
        <f t="shared" si="3"/>
        <v>-63.888888888888893</v>
      </c>
      <c r="G32" s="30">
        <f t="shared" si="4"/>
        <v>-64.163891411847814</v>
      </c>
      <c r="H32" s="23">
        <v>0</v>
      </c>
      <c r="I32" s="28">
        <v>1000</v>
      </c>
      <c r="J32" s="23">
        <v>0</v>
      </c>
    </row>
    <row r="33" spans="1:10">
      <c r="A33" s="20">
        <v>2048</v>
      </c>
      <c r="B33" s="28">
        <f t="shared" si="0"/>
        <v>2516.231035758738</v>
      </c>
      <c r="C33" s="28">
        <f t="shared" si="1"/>
        <v>666.06115652437177</v>
      </c>
      <c r="D33" s="28">
        <f t="shared" si="6"/>
        <v>75.688767786860424</v>
      </c>
      <c r="E33" s="28">
        <f t="shared" si="6"/>
        <v>75.688767786860424</v>
      </c>
      <c r="F33" s="28">
        <f t="shared" si="3"/>
        <v>-63.888888888888893</v>
      </c>
      <c r="G33" s="30">
        <f t="shared" si="4"/>
        <v>-64.163891411847814</v>
      </c>
      <c r="H33" s="23">
        <v>0</v>
      </c>
      <c r="I33" s="28">
        <v>1000</v>
      </c>
      <c r="J33" s="23">
        <v>0</v>
      </c>
    </row>
    <row r="34" spans="1:10">
      <c r="A34" s="20">
        <v>2049</v>
      </c>
      <c r="B34" s="28">
        <f t="shared" si="0"/>
        <v>2516.231035758738</v>
      </c>
      <c r="C34" s="28">
        <f t="shared" si="1"/>
        <v>666.06115652437177</v>
      </c>
      <c r="D34" s="28">
        <f t="shared" si="6"/>
        <v>75.688767786860424</v>
      </c>
      <c r="E34" s="28">
        <f t="shared" si="6"/>
        <v>75.688767786860424</v>
      </c>
      <c r="F34" s="28">
        <f t="shared" si="3"/>
        <v>-63.888888888888893</v>
      </c>
      <c r="G34" s="30">
        <f t="shared" si="4"/>
        <v>-64.163891411847814</v>
      </c>
      <c r="H34" s="23">
        <v>0</v>
      </c>
      <c r="I34" s="28">
        <v>1000</v>
      </c>
      <c r="J34" s="23">
        <v>0</v>
      </c>
    </row>
    <row r="35" spans="1:10">
      <c r="A35" s="20">
        <v>2050</v>
      </c>
      <c r="B35" s="28">
        <f t="shared" si="0"/>
        <v>2516.231035758738</v>
      </c>
      <c r="C35" s="28">
        <f t="shared" si="1"/>
        <v>666.06115652437177</v>
      </c>
      <c r="D35" s="28">
        <f t="shared" si="6"/>
        <v>75.688767786860424</v>
      </c>
      <c r="E35" s="28">
        <f t="shared" si="6"/>
        <v>75.688767786860424</v>
      </c>
      <c r="F35" s="28">
        <f t="shared" si="3"/>
        <v>-63.888888888888893</v>
      </c>
      <c r="G35" s="30">
        <f t="shared" si="4"/>
        <v>-64.163891411847814</v>
      </c>
      <c r="H35" s="23">
        <v>0</v>
      </c>
      <c r="I35" s="28">
        <v>1000</v>
      </c>
      <c r="J35" s="23">
        <v>0</v>
      </c>
    </row>
    <row r="36" spans="1:10">
      <c r="A36" s="20">
        <v>2051</v>
      </c>
      <c r="B36" s="28">
        <f t="shared" si="0"/>
        <v>2516.231035758738</v>
      </c>
      <c r="C36" s="28">
        <f t="shared" si="1"/>
        <v>666.06115652437177</v>
      </c>
      <c r="D36" s="28">
        <f t="shared" si="6"/>
        <v>75.688767786860424</v>
      </c>
      <c r="E36" s="28">
        <f t="shared" si="6"/>
        <v>75.688767786860424</v>
      </c>
      <c r="F36" s="28">
        <f t="shared" si="3"/>
        <v>-63.888888888888893</v>
      </c>
      <c r="G36" s="30">
        <f t="shared" si="4"/>
        <v>-64.163891411847814</v>
      </c>
      <c r="H36" s="23">
        <v>0</v>
      </c>
      <c r="I36" s="28">
        <v>1000</v>
      </c>
      <c r="J36" s="23">
        <v>0</v>
      </c>
    </row>
    <row r="37" spans="1:10">
      <c r="A37" s="20">
        <v>2052</v>
      </c>
      <c r="B37" s="28">
        <f t="shared" si="0"/>
        <v>2516.231035758738</v>
      </c>
      <c r="C37" s="28">
        <f t="shared" si="1"/>
        <v>666.06115652437177</v>
      </c>
      <c r="D37" s="28">
        <f t="shared" si="6"/>
        <v>75.688767786860424</v>
      </c>
      <c r="E37" s="28">
        <f t="shared" si="6"/>
        <v>75.688767786860424</v>
      </c>
      <c r="F37" s="28">
        <f t="shared" si="3"/>
        <v>-63.888888888888893</v>
      </c>
      <c r="G37" s="30">
        <f t="shared" si="4"/>
        <v>-64.163891411847814</v>
      </c>
      <c r="H37" s="23">
        <v>0</v>
      </c>
      <c r="I37" s="28">
        <v>1000</v>
      </c>
      <c r="J37" s="23">
        <v>0</v>
      </c>
    </row>
    <row r="38" spans="1:10">
      <c r="A38" s="20">
        <v>2053</v>
      </c>
      <c r="B38" s="28">
        <f t="shared" si="0"/>
        <v>2516.231035758738</v>
      </c>
      <c r="C38" s="28">
        <f t="shared" si="1"/>
        <v>666.06115652437177</v>
      </c>
      <c r="D38" s="28">
        <f t="shared" si="6"/>
        <v>75.688767786860424</v>
      </c>
      <c r="E38" s="28">
        <f t="shared" si="6"/>
        <v>75.688767786860424</v>
      </c>
      <c r="F38" s="28">
        <f t="shared" si="3"/>
        <v>-63.888888888888893</v>
      </c>
      <c r="G38" s="30">
        <f t="shared" si="4"/>
        <v>-64.163891411847814</v>
      </c>
      <c r="H38" s="23">
        <v>0</v>
      </c>
      <c r="I38" s="28">
        <v>1000</v>
      </c>
      <c r="J38" s="23">
        <v>0</v>
      </c>
    </row>
    <row r="39" spans="1:10">
      <c r="A39" s="20">
        <v>2054</v>
      </c>
      <c r="B39" s="28">
        <f t="shared" si="0"/>
        <v>2516.231035758738</v>
      </c>
      <c r="C39" s="28">
        <f t="shared" si="1"/>
        <v>666.06115652437177</v>
      </c>
      <c r="D39" s="28">
        <f t="shared" si="6"/>
        <v>75.688767786860424</v>
      </c>
      <c r="E39" s="28">
        <f t="shared" si="6"/>
        <v>75.688767786860424</v>
      </c>
      <c r="F39" s="28">
        <f t="shared" si="3"/>
        <v>-63.888888888888893</v>
      </c>
      <c r="G39" s="30">
        <f t="shared" si="4"/>
        <v>-64.163891411847814</v>
      </c>
      <c r="H39" s="23">
        <v>0</v>
      </c>
      <c r="I39" s="28">
        <v>1000</v>
      </c>
      <c r="J39" s="23">
        <v>0</v>
      </c>
    </row>
    <row r="40" spans="1:10">
      <c r="A40" s="20">
        <v>2055</v>
      </c>
      <c r="B40" s="28">
        <f t="shared" si="0"/>
        <v>2516.231035758738</v>
      </c>
      <c r="C40" s="28">
        <f t="shared" si="1"/>
        <v>666.06115652437177</v>
      </c>
      <c r="D40" s="28">
        <f t="shared" si="6"/>
        <v>75.688767786860424</v>
      </c>
      <c r="E40" s="28">
        <f t="shared" si="6"/>
        <v>75.688767786860424</v>
      </c>
      <c r="F40" s="28">
        <f t="shared" si="3"/>
        <v>-63.888888888888893</v>
      </c>
      <c r="G40" s="30">
        <f t="shared" si="4"/>
        <v>-64.163891411847814</v>
      </c>
      <c r="H40" s="23">
        <v>0</v>
      </c>
      <c r="I40" s="28">
        <v>1000</v>
      </c>
      <c r="J40" s="23">
        <v>0</v>
      </c>
    </row>
    <row r="41" spans="1:10">
      <c r="A41" s="20">
        <v>2056</v>
      </c>
      <c r="B41" s="28">
        <f t="shared" si="0"/>
        <v>2516.231035758738</v>
      </c>
      <c r="C41" s="28">
        <f t="shared" si="1"/>
        <v>666.06115652437177</v>
      </c>
      <c r="D41" s="28">
        <f t="shared" si="6"/>
        <v>75.688767786860424</v>
      </c>
      <c r="E41" s="28">
        <f t="shared" si="6"/>
        <v>75.688767786860424</v>
      </c>
      <c r="F41" s="28">
        <f t="shared" si="3"/>
        <v>-63.888888888888893</v>
      </c>
      <c r="G41" s="30">
        <f t="shared" si="4"/>
        <v>-64.163891411847814</v>
      </c>
      <c r="H41" s="23">
        <v>0</v>
      </c>
      <c r="I41" s="28">
        <v>1000</v>
      </c>
      <c r="J41" s="23">
        <v>0</v>
      </c>
    </row>
    <row r="42" spans="1:10">
      <c r="A42" s="20">
        <v>2057</v>
      </c>
      <c r="B42" s="28">
        <f t="shared" si="0"/>
        <v>2516.231035758738</v>
      </c>
      <c r="C42" s="28">
        <f t="shared" si="1"/>
        <v>666.06115652437177</v>
      </c>
      <c r="D42" s="28">
        <f t="shared" si="6"/>
        <v>75.688767786860424</v>
      </c>
      <c r="E42" s="28">
        <f t="shared" si="6"/>
        <v>75.688767786860424</v>
      </c>
      <c r="F42" s="28">
        <f t="shared" si="3"/>
        <v>-63.888888888888893</v>
      </c>
      <c r="G42" s="30">
        <f t="shared" si="4"/>
        <v>-64.163891411847814</v>
      </c>
      <c r="H42" s="23">
        <v>0</v>
      </c>
      <c r="I42" s="28">
        <v>1000</v>
      </c>
      <c r="J42" s="23">
        <v>0</v>
      </c>
    </row>
    <row r="43" spans="1:10">
      <c r="A43" s="20">
        <v>2058</v>
      </c>
      <c r="B43" s="28">
        <f t="shared" si="0"/>
        <v>2516.231035758738</v>
      </c>
      <c r="C43" s="28">
        <f t="shared" si="1"/>
        <v>666.06115652437177</v>
      </c>
      <c r="D43" s="28">
        <f t="shared" ref="D43:E58" si="7">D42</f>
        <v>75.688767786860424</v>
      </c>
      <c r="E43" s="28">
        <f t="shared" si="7"/>
        <v>75.688767786860424</v>
      </c>
      <c r="F43" s="28">
        <f t="shared" si="3"/>
        <v>-63.888888888888893</v>
      </c>
      <c r="G43" s="30">
        <f t="shared" si="4"/>
        <v>-64.163891411847814</v>
      </c>
      <c r="H43" s="23">
        <v>0</v>
      </c>
      <c r="I43" s="28">
        <v>1000</v>
      </c>
      <c r="J43" s="23">
        <v>0</v>
      </c>
    </row>
    <row r="44" spans="1:10">
      <c r="A44" s="20">
        <v>2059</v>
      </c>
      <c r="B44" s="28">
        <f t="shared" si="0"/>
        <v>2516.231035758738</v>
      </c>
      <c r="C44" s="28">
        <f t="shared" si="1"/>
        <v>666.06115652437177</v>
      </c>
      <c r="D44" s="28">
        <f t="shared" si="7"/>
        <v>75.688767786860424</v>
      </c>
      <c r="E44" s="28">
        <f t="shared" si="7"/>
        <v>75.688767786860424</v>
      </c>
      <c r="F44" s="28">
        <f t="shared" si="3"/>
        <v>-63.888888888888893</v>
      </c>
      <c r="G44" s="30">
        <f t="shared" si="4"/>
        <v>-64.163891411847814</v>
      </c>
      <c r="H44" s="23">
        <v>0</v>
      </c>
      <c r="I44" s="28">
        <v>1000</v>
      </c>
      <c r="J44" s="23">
        <v>0</v>
      </c>
    </row>
    <row r="45" spans="1:10">
      <c r="A45" s="20">
        <v>2060</v>
      </c>
      <c r="B45" s="28">
        <f t="shared" si="0"/>
        <v>2516.231035758738</v>
      </c>
      <c r="C45" s="28">
        <f t="shared" si="1"/>
        <v>666.06115652437177</v>
      </c>
      <c r="D45" s="28">
        <f t="shared" si="7"/>
        <v>75.688767786860424</v>
      </c>
      <c r="E45" s="28">
        <f t="shared" si="7"/>
        <v>75.688767786860424</v>
      </c>
      <c r="F45" s="28">
        <v>0</v>
      </c>
      <c r="G45" s="30">
        <f t="shared" si="4"/>
        <v>-64.163891411847814</v>
      </c>
      <c r="H45" s="23">
        <v>0</v>
      </c>
      <c r="I45" s="28">
        <v>1000</v>
      </c>
      <c r="J45" s="23">
        <v>0</v>
      </c>
    </row>
    <row r="46" spans="1:10">
      <c r="A46" s="20">
        <v>2061</v>
      </c>
      <c r="B46" s="28">
        <f t="shared" si="0"/>
        <v>2516.231035758738</v>
      </c>
      <c r="C46" s="28">
        <f t="shared" si="1"/>
        <v>666.06115652437177</v>
      </c>
      <c r="D46" s="28">
        <f t="shared" si="7"/>
        <v>75.688767786860424</v>
      </c>
      <c r="E46" s="28">
        <f t="shared" si="7"/>
        <v>75.688767786860424</v>
      </c>
      <c r="F46" s="28">
        <v>0</v>
      </c>
      <c r="G46" s="30">
        <f t="shared" si="4"/>
        <v>-64.163891411847814</v>
      </c>
      <c r="H46" s="23">
        <v>0</v>
      </c>
      <c r="I46" s="28">
        <v>1000</v>
      </c>
      <c r="J46" s="23">
        <v>0</v>
      </c>
    </row>
    <row r="47" spans="1:10">
      <c r="A47" s="20">
        <v>2062</v>
      </c>
      <c r="B47" s="28">
        <f t="shared" si="0"/>
        <v>2516.231035758738</v>
      </c>
      <c r="C47" s="28">
        <f t="shared" si="1"/>
        <v>666.06115652437177</v>
      </c>
      <c r="D47" s="28">
        <f t="shared" si="7"/>
        <v>75.688767786860424</v>
      </c>
      <c r="E47" s="28">
        <f t="shared" si="7"/>
        <v>75.688767786860424</v>
      </c>
      <c r="F47" s="28">
        <v>0</v>
      </c>
      <c r="G47" s="30">
        <f t="shared" si="4"/>
        <v>-64.163891411847814</v>
      </c>
      <c r="H47" s="23">
        <v>0</v>
      </c>
      <c r="I47" s="28">
        <v>1000</v>
      </c>
      <c r="J47" s="23">
        <v>0</v>
      </c>
    </row>
    <row r="48" spans="1:10">
      <c r="A48" s="20">
        <v>2063</v>
      </c>
      <c r="B48" s="28">
        <f t="shared" si="0"/>
        <v>2516.231035758738</v>
      </c>
      <c r="C48" s="28">
        <f t="shared" si="1"/>
        <v>666.06115652437177</v>
      </c>
      <c r="D48" s="28">
        <f t="shared" si="7"/>
        <v>75.688767786860424</v>
      </c>
      <c r="E48" s="28">
        <f t="shared" si="7"/>
        <v>75.688767786860424</v>
      </c>
      <c r="F48" s="28">
        <v>0</v>
      </c>
      <c r="G48" s="30">
        <f t="shared" si="4"/>
        <v>-64.163891411847814</v>
      </c>
      <c r="H48" s="23">
        <v>0</v>
      </c>
      <c r="I48" s="28">
        <v>1000</v>
      </c>
      <c r="J48" s="23">
        <v>0</v>
      </c>
    </row>
    <row r="49" spans="1:10">
      <c r="A49" s="20">
        <v>2064</v>
      </c>
      <c r="B49" s="28">
        <f t="shared" si="0"/>
        <v>2516.231035758738</v>
      </c>
      <c r="C49" s="28">
        <f t="shared" si="1"/>
        <v>666.06115652437177</v>
      </c>
      <c r="D49" s="28">
        <f t="shared" si="7"/>
        <v>75.688767786860424</v>
      </c>
      <c r="E49" s="28">
        <f t="shared" si="7"/>
        <v>75.688767786860424</v>
      </c>
      <c r="F49" s="28">
        <v>0</v>
      </c>
      <c r="G49" s="30">
        <f t="shared" si="4"/>
        <v>-64.163891411847814</v>
      </c>
      <c r="H49" s="23">
        <v>0</v>
      </c>
      <c r="I49" s="28">
        <v>1000</v>
      </c>
      <c r="J49" s="23">
        <v>0</v>
      </c>
    </row>
    <row r="50" spans="1:10">
      <c r="A50" s="20">
        <v>2065</v>
      </c>
      <c r="B50" s="28">
        <f t="shared" si="0"/>
        <v>2516.231035758738</v>
      </c>
      <c r="C50" s="28">
        <f t="shared" si="1"/>
        <v>666.06115652437177</v>
      </c>
      <c r="D50" s="28">
        <f t="shared" si="7"/>
        <v>75.688767786860424</v>
      </c>
      <c r="E50" s="28">
        <f t="shared" si="7"/>
        <v>75.688767786860424</v>
      </c>
      <c r="F50" s="28">
        <v>0</v>
      </c>
      <c r="G50" s="30">
        <f t="shared" si="4"/>
        <v>-64.163891411847814</v>
      </c>
      <c r="H50" s="23">
        <v>0</v>
      </c>
      <c r="I50" s="28">
        <v>1000</v>
      </c>
      <c r="J50" s="23">
        <v>0</v>
      </c>
    </row>
    <row r="51" spans="1:10">
      <c r="A51" s="20">
        <v>2066</v>
      </c>
      <c r="B51" s="28">
        <f t="shared" si="0"/>
        <v>2516.231035758738</v>
      </c>
      <c r="C51" s="28">
        <f t="shared" si="1"/>
        <v>666.06115652437177</v>
      </c>
      <c r="D51" s="28">
        <f t="shared" si="7"/>
        <v>75.688767786860424</v>
      </c>
      <c r="E51" s="28">
        <f t="shared" si="7"/>
        <v>75.688767786860424</v>
      </c>
      <c r="F51" s="28">
        <v>0</v>
      </c>
      <c r="G51" s="30">
        <f t="shared" si="4"/>
        <v>-64.163891411847814</v>
      </c>
      <c r="H51" s="23">
        <v>0</v>
      </c>
      <c r="I51" s="28">
        <v>1000</v>
      </c>
      <c r="J51" s="23">
        <v>0</v>
      </c>
    </row>
    <row r="52" spans="1:10">
      <c r="A52" s="20">
        <v>2067</v>
      </c>
      <c r="B52" s="28">
        <f t="shared" si="0"/>
        <v>2516.231035758738</v>
      </c>
      <c r="C52" s="28">
        <f t="shared" si="1"/>
        <v>666.06115652437177</v>
      </c>
      <c r="D52" s="28">
        <f t="shared" si="7"/>
        <v>75.688767786860424</v>
      </c>
      <c r="E52" s="28">
        <f t="shared" si="7"/>
        <v>75.688767786860424</v>
      </c>
      <c r="F52" s="28">
        <v>0</v>
      </c>
      <c r="G52" s="30">
        <f t="shared" si="4"/>
        <v>-64.163891411847814</v>
      </c>
      <c r="H52" s="23">
        <v>0</v>
      </c>
      <c r="I52" s="28">
        <v>1000</v>
      </c>
      <c r="J52" s="23">
        <v>0</v>
      </c>
    </row>
    <row r="53" spans="1:10">
      <c r="A53" s="20">
        <v>2068</v>
      </c>
      <c r="B53" s="28">
        <f t="shared" si="0"/>
        <v>2516.231035758738</v>
      </c>
      <c r="C53" s="28">
        <f t="shared" si="1"/>
        <v>666.06115652437177</v>
      </c>
      <c r="D53" s="28">
        <f t="shared" si="7"/>
        <v>75.688767786860424</v>
      </c>
      <c r="E53" s="28">
        <f t="shared" si="7"/>
        <v>75.688767786860424</v>
      </c>
      <c r="F53" s="28">
        <v>0</v>
      </c>
      <c r="G53" s="30">
        <f t="shared" si="4"/>
        <v>-64.163891411847814</v>
      </c>
      <c r="H53" s="23">
        <v>0</v>
      </c>
      <c r="I53" s="28">
        <v>1000</v>
      </c>
      <c r="J53" s="23">
        <v>0</v>
      </c>
    </row>
    <row r="54" spans="1:10">
      <c r="A54" s="20">
        <v>2069</v>
      </c>
      <c r="B54" s="28">
        <f t="shared" si="0"/>
        <v>2516.231035758738</v>
      </c>
      <c r="C54" s="28">
        <f t="shared" si="1"/>
        <v>666.06115652437177</v>
      </c>
      <c r="D54" s="28">
        <f t="shared" si="7"/>
        <v>75.688767786860424</v>
      </c>
      <c r="E54" s="28">
        <f t="shared" si="7"/>
        <v>75.688767786860424</v>
      </c>
      <c r="F54" s="28">
        <v>0</v>
      </c>
      <c r="G54" s="30">
        <f t="shared" si="4"/>
        <v>-64.163891411847814</v>
      </c>
      <c r="H54" s="23">
        <v>0</v>
      </c>
      <c r="I54" s="28">
        <v>1000</v>
      </c>
      <c r="J54" s="23">
        <v>0</v>
      </c>
    </row>
    <row r="55" spans="1:10">
      <c r="A55" s="20">
        <v>2070</v>
      </c>
      <c r="B55" s="28">
        <f t="shared" si="0"/>
        <v>2516.231035758738</v>
      </c>
      <c r="C55" s="28">
        <f t="shared" si="1"/>
        <v>666.06115652437177</v>
      </c>
      <c r="D55" s="28">
        <f t="shared" si="7"/>
        <v>75.688767786860424</v>
      </c>
      <c r="E55" s="28">
        <f t="shared" si="7"/>
        <v>75.688767786860424</v>
      </c>
      <c r="F55" s="28">
        <v>0</v>
      </c>
      <c r="G55" s="30">
        <f t="shared" si="4"/>
        <v>-64.163891411847814</v>
      </c>
      <c r="H55" s="23">
        <v>0</v>
      </c>
      <c r="I55" s="28">
        <v>1000</v>
      </c>
      <c r="J55" s="23">
        <v>0</v>
      </c>
    </row>
    <row r="56" spans="1:10">
      <c r="A56" s="20">
        <v>2071</v>
      </c>
      <c r="B56" s="28">
        <f t="shared" si="0"/>
        <v>2516.231035758738</v>
      </c>
      <c r="C56" s="28">
        <f t="shared" si="1"/>
        <v>666.06115652437177</v>
      </c>
      <c r="D56" s="28">
        <f t="shared" si="7"/>
        <v>75.688767786860424</v>
      </c>
      <c r="E56" s="28">
        <f t="shared" si="7"/>
        <v>75.688767786860424</v>
      </c>
      <c r="F56" s="28">
        <v>0</v>
      </c>
      <c r="G56" s="30">
        <f t="shared" si="4"/>
        <v>-64.163891411847814</v>
      </c>
      <c r="H56" s="23">
        <v>0</v>
      </c>
      <c r="I56" s="28">
        <v>1000</v>
      </c>
      <c r="J56" s="23">
        <v>0</v>
      </c>
    </row>
    <row r="57" spans="1:10">
      <c r="A57" s="20">
        <v>2072</v>
      </c>
      <c r="B57" s="28">
        <f t="shared" si="0"/>
        <v>2516.231035758738</v>
      </c>
      <c r="C57" s="28">
        <f t="shared" si="1"/>
        <v>666.06115652437177</v>
      </c>
      <c r="D57" s="28">
        <f t="shared" si="7"/>
        <v>75.688767786860424</v>
      </c>
      <c r="E57" s="28">
        <f t="shared" si="7"/>
        <v>75.688767786860424</v>
      </c>
      <c r="F57" s="28">
        <v>0</v>
      </c>
      <c r="G57" s="30">
        <f t="shared" si="4"/>
        <v>-64.163891411847814</v>
      </c>
      <c r="H57" s="23">
        <v>0</v>
      </c>
      <c r="I57" s="28">
        <v>1000</v>
      </c>
      <c r="J57" s="23">
        <v>0</v>
      </c>
    </row>
    <row r="58" spans="1:10">
      <c r="A58" s="20">
        <v>2073</v>
      </c>
      <c r="B58" s="28">
        <f t="shared" si="0"/>
        <v>2516.231035758738</v>
      </c>
      <c r="C58" s="28">
        <f t="shared" si="1"/>
        <v>666.06115652437177</v>
      </c>
      <c r="D58" s="28">
        <f t="shared" si="7"/>
        <v>75.688767786860424</v>
      </c>
      <c r="E58" s="28">
        <f t="shared" si="7"/>
        <v>75.688767786860424</v>
      </c>
      <c r="F58" s="28">
        <v>0</v>
      </c>
      <c r="G58" s="30">
        <f t="shared" si="4"/>
        <v>-64.163891411847814</v>
      </c>
      <c r="H58" s="23">
        <v>0</v>
      </c>
      <c r="I58" s="28">
        <v>1000</v>
      </c>
      <c r="J58" s="23">
        <v>0</v>
      </c>
    </row>
    <row r="59" spans="1:10">
      <c r="A59" s="20">
        <v>2074</v>
      </c>
      <c r="B59" s="28">
        <f t="shared" si="0"/>
        <v>2516.231035758738</v>
      </c>
      <c r="C59" s="28">
        <f t="shared" si="1"/>
        <v>666.06115652437177</v>
      </c>
      <c r="D59" s="28">
        <f t="shared" ref="D59:E74" si="8">D58</f>
        <v>75.688767786860424</v>
      </c>
      <c r="E59" s="28">
        <f t="shared" si="8"/>
        <v>75.688767786860424</v>
      </c>
      <c r="F59" s="28">
        <v>0</v>
      </c>
      <c r="G59" s="30">
        <f t="shared" si="4"/>
        <v>-64.163891411847814</v>
      </c>
      <c r="H59" s="23">
        <v>0</v>
      </c>
      <c r="I59" s="28">
        <v>1000</v>
      </c>
      <c r="J59" s="23">
        <v>0</v>
      </c>
    </row>
    <row r="60" spans="1:10">
      <c r="A60" s="20">
        <v>2075</v>
      </c>
      <c r="B60" s="28">
        <f t="shared" si="0"/>
        <v>2516.231035758738</v>
      </c>
      <c r="C60" s="28">
        <f t="shared" si="1"/>
        <v>666.06115652437177</v>
      </c>
      <c r="D60" s="28">
        <f t="shared" si="8"/>
        <v>75.688767786860424</v>
      </c>
      <c r="E60" s="28">
        <f t="shared" si="8"/>
        <v>75.688767786860424</v>
      </c>
      <c r="F60" s="28">
        <v>0</v>
      </c>
      <c r="G60" s="30">
        <f t="shared" si="4"/>
        <v>-64.163891411847814</v>
      </c>
      <c r="H60" s="23">
        <v>0</v>
      </c>
      <c r="I60" s="28">
        <v>1000</v>
      </c>
      <c r="J60" s="23">
        <v>0</v>
      </c>
    </row>
    <row r="61" spans="1:10">
      <c r="A61" s="20">
        <v>2076</v>
      </c>
      <c r="B61" s="28">
        <f t="shared" si="0"/>
        <v>2516.231035758738</v>
      </c>
      <c r="C61" s="28">
        <f t="shared" si="1"/>
        <v>666.06115652437177</v>
      </c>
      <c r="D61" s="28">
        <f t="shared" si="8"/>
        <v>75.688767786860424</v>
      </c>
      <c r="E61" s="28">
        <f t="shared" si="8"/>
        <v>75.688767786860424</v>
      </c>
      <c r="F61" s="28">
        <v>0</v>
      </c>
      <c r="G61" s="30">
        <f t="shared" si="4"/>
        <v>-64.163891411847814</v>
      </c>
      <c r="H61" s="23">
        <v>0</v>
      </c>
      <c r="I61" s="28">
        <v>1000</v>
      </c>
      <c r="J61" s="23">
        <v>0</v>
      </c>
    </row>
    <row r="62" spans="1:10">
      <c r="A62" s="20">
        <v>2077</v>
      </c>
      <c r="B62" s="28">
        <f t="shared" si="0"/>
        <v>2516.231035758738</v>
      </c>
      <c r="C62" s="28">
        <f t="shared" si="1"/>
        <v>666.06115652437177</v>
      </c>
      <c r="D62" s="28">
        <f t="shared" si="8"/>
        <v>75.688767786860424</v>
      </c>
      <c r="E62" s="28">
        <f t="shared" si="8"/>
        <v>75.688767786860424</v>
      </c>
      <c r="F62" s="28">
        <v>0</v>
      </c>
      <c r="G62" s="30">
        <f t="shared" si="4"/>
        <v>-64.163891411847814</v>
      </c>
      <c r="H62" s="23">
        <v>0</v>
      </c>
      <c r="I62" s="28">
        <v>1000</v>
      </c>
      <c r="J62" s="23">
        <v>0</v>
      </c>
    </row>
    <row r="63" spans="1:10">
      <c r="A63" s="20">
        <v>2078</v>
      </c>
      <c r="B63" s="28">
        <f t="shared" si="0"/>
        <v>2516.231035758738</v>
      </c>
      <c r="C63" s="28">
        <f t="shared" si="1"/>
        <v>666.06115652437177</v>
      </c>
      <c r="D63" s="28">
        <f t="shared" si="8"/>
        <v>75.688767786860424</v>
      </c>
      <c r="E63" s="28">
        <f t="shared" si="8"/>
        <v>75.688767786860424</v>
      </c>
      <c r="F63" s="28">
        <v>0</v>
      </c>
      <c r="G63" s="30">
        <f t="shared" si="4"/>
        <v>-64.163891411847814</v>
      </c>
      <c r="H63" s="23">
        <v>0</v>
      </c>
      <c r="I63" s="28">
        <v>1000</v>
      </c>
      <c r="J63" s="23">
        <v>0</v>
      </c>
    </row>
    <row r="64" spans="1:10">
      <c r="A64" s="20">
        <v>2079</v>
      </c>
      <c r="B64" s="28">
        <f t="shared" si="0"/>
        <v>2516.231035758738</v>
      </c>
      <c r="C64" s="28">
        <f t="shared" si="1"/>
        <v>666.06115652437177</v>
      </c>
      <c r="D64" s="28">
        <f t="shared" si="8"/>
        <v>75.688767786860424</v>
      </c>
      <c r="E64" s="28">
        <f t="shared" si="8"/>
        <v>75.688767786860424</v>
      </c>
      <c r="F64" s="28">
        <v>0</v>
      </c>
      <c r="G64" s="30">
        <f t="shared" si="4"/>
        <v>-64.163891411847814</v>
      </c>
      <c r="H64" s="23">
        <v>0</v>
      </c>
      <c r="I64" s="28">
        <v>1000</v>
      </c>
      <c r="J64" s="23">
        <v>0</v>
      </c>
    </row>
    <row r="65" spans="1:10">
      <c r="A65" s="20">
        <v>2080</v>
      </c>
      <c r="B65" s="28">
        <f t="shared" si="0"/>
        <v>2516.231035758738</v>
      </c>
      <c r="C65" s="28">
        <f t="shared" si="1"/>
        <v>666.06115652437177</v>
      </c>
      <c r="D65" s="28">
        <f t="shared" si="8"/>
        <v>75.688767786860424</v>
      </c>
      <c r="E65" s="28">
        <f t="shared" si="8"/>
        <v>75.688767786860424</v>
      </c>
      <c r="F65" s="28">
        <v>0</v>
      </c>
      <c r="G65" s="30">
        <f t="shared" si="4"/>
        <v>-64.163891411847814</v>
      </c>
      <c r="H65" s="23">
        <v>0</v>
      </c>
      <c r="I65" s="28">
        <v>1000</v>
      </c>
      <c r="J65" s="23">
        <v>0</v>
      </c>
    </row>
    <row r="66" spans="1:10">
      <c r="A66" s="20">
        <v>2081</v>
      </c>
      <c r="B66" s="28">
        <f t="shared" si="0"/>
        <v>2516.231035758738</v>
      </c>
      <c r="C66" s="28">
        <f t="shared" si="1"/>
        <v>666.06115652437177</v>
      </c>
      <c r="D66" s="28">
        <f t="shared" si="8"/>
        <v>75.688767786860424</v>
      </c>
      <c r="E66" s="28">
        <f t="shared" si="8"/>
        <v>75.688767786860424</v>
      </c>
      <c r="F66" s="28">
        <v>0</v>
      </c>
      <c r="G66" s="30">
        <f t="shared" si="4"/>
        <v>-64.163891411847814</v>
      </c>
      <c r="H66" s="23">
        <v>0</v>
      </c>
      <c r="I66" s="28">
        <v>1000</v>
      </c>
      <c r="J66" s="23">
        <v>0</v>
      </c>
    </row>
    <row r="67" spans="1:10">
      <c r="A67" s="20">
        <v>2082</v>
      </c>
      <c r="B67" s="28">
        <f t="shared" si="0"/>
        <v>2516.231035758738</v>
      </c>
      <c r="C67" s="28">
        <f t="shared" si="1"/>
        <v>666.06115652437177</v>
      </c>
      <c r="D67" s="28">
        <f t="shared" si="8"/>
        <v>75.688767786860424</v>
      </c>
      <c r="E67" s="28">
        <f t="shared" si="8"/>
        <v>75.688767786860424</v>
      </c>
      <c r="F67" s="28">
        <v>0</v>
      </c>
      <c r="G67" s="30">
        <f t="shared" si="4"/>
        <v>-64.163891411847814</v>
      </c>
      <c r="H67" s="23">
        <v>0</v>
      </c>
      <c r="I67" s="28">
        <v>1000</v>
      </c>
      <c r="J67" s="23">
        <v>0</v>
      </c>
    </row>
    <row r="68" spans="1:10">
      <c r="A68" s="20">
        <v>2083</v>
      </c>
      <c r="B68" s="28">
        <f t="shared" si="0"/>
        <v>2516.231035758738</v>
      </c>
      <c r="C68" s="28">
        <f t="shared" si="1"/>
        <v>666.06115652437177</v>
      </c>
      <c r="D68" s="28">
        <f t="shared" si="8"/>
        <v>75.688767786860424</v>
      </c>
      <c r="E68" s="28">
        <f t="shared" si="8"/>
        <v>75.688767786860424</v>
      </c>
      <c r="F68" s="28">
        <v>0</v>
      </c>
      <c r="G68" s="30">
        <f t="shared" si="4"/>
        <v>-64.163891411847814</v>
      </c>
      <c r="H68" s="23">
        <v>0</v>
      </c>
      <c r="I68" s="28">
        <v>1000</v>
      </c>
      <c r="J68" s="23">
        <v>0</v>
      </c>
    </row>
    <row r="69" spans="1:10">
      <c r="A69" s="20">
        <v>2084</v>
      </c>
      <c r="B69" s="28">
        <f t="shared" si="0"/>
        <v>2516.231035758738</v>
      </c>
      <c r="C69" s="28">
        <f t="shared" si="1"/>
        <v>666.06115652437177</v>
      </c>
      <c r="D69" s="28">
        <f t="shared" si="8"/>
        <v>75.688767786860424</v>
      </c>
      <c r="E69" s="28">
        <f t="shared" si="8"/>
        <v>75.688767786860424</v>
      </c>
      <c r="F69" s="28">
        <v>0</v>
      </c>
      <c r="G69" s="30">
        <f t="shared" si="4"/>
        <v>-64.163891411847814</v>
      </c>
      <c r="H69" s="23">
        <v>0</v>
      </c>
      <c r="I69" s="28">
        <v>1000</v>
      </c>
      <c r="J69" s="23">
        <v>0</v>
      </c>
    </row>
    <row r="70" spans="1:10">
      <c r="A70" s="20">
        <v>2085</v>
      </c>
      <c r="B70" s="28">
        <f t="shared" si="0"/>
        <v>2516.231035758738</v>
      </c>
      <c r="C70" s="28">
        <f t="shared" si="1"/>
        <v>666.06115652437177</v>
      </c>
      <c r="D70" s="28">
        <f t="shared" si="8"/>
        <v>75.688767786860424</v>
      </c>
      <c r="E70" s="28">
        <f t="shared" si="8"/>
        <v>75.688767786860424</v>
      </c>
      <c r="F70" s="28">
        <v>0</v>
      </c>
      <c r="G70" s="30">
        <f t="shared" si="4"/>
        <v>-64.163891411847814</v>
      </c>
      <c r="H70" s="23">
        <v>0</v>
      </c>
      <c r="I70" s="28">
        <v>1000</v>
      </c>
      <c r="J70" s="23">
        <v>0</v>
      </c>
    </row>
    <row r="71" spans="1:10">
      <c r="A71" s="20">
        <v>2086</v>
      </c>
      <c r="B71" s="28">
        <f t="shared" si="0"/>
        <v>2516.231035758738</v>
      </c>
      <c r="C71" s="28">
        <f t="shared" si="1"/>
        <v>666.06115652437177</v>
      </c>
      <c r="D71" s="28">
        <f t="shared" si="8"/>
        <v>75.688767786860424</v>
      </c>
      <c r="E71" s="28">
        <f t="shared" si="8"/>
        <v>75.688767786860424</v>
      </c>
      <c r="F71" s="28">
        <v>0</v>
      </c>
      <c r="G71" s="30">
        <f t="shared" si="4"/>
        <v>-64.163891411847814</v>
      </c>
      <c r="H71" s="23">
        <v>0</v>
      </c>
      <c r="I71" s="28">
        <v>1000</v>
      </c>
      <c r="J71" s="23">
        <v>0</v>
      </c>
    </row>
    <row r="72" spans="1:10">
      <c r="A72" s="20">
        <v>2087</v>
      </c>
      <c r="B72" s="28">
        <f t="shared" si="0"/>
        <v>2516.231035758738</v>
      </c>
      <c r="C72" s="28">
        <f t="shared" si="1"/>
        <v>666.06115652437177</v>
      </c>
      <c r="D72" s="28">
        <f t="shared" si="8"/>
        <v>75.688767786860424</v>
      </c>
      <c r="E72" s="28">
        <f t="shared" si="8"/>
        <v>75.688767786860424</v>
      </c>
      <c r="F72" s="28">
        <v>0</v>
      </c>
      <c r="G72" s="30">
        <f t="shared" si="4"/>
        <v>-64.163891411847814</v>
      </c>
      <c r="H72" s="23">
        <v>0</v>
      </c>
      <c r="I72" s="28">
        <v>1000</v>
      </c>
      <c r="J72" s="23">
        <v>0</v>
      </c>
    </row>
    <row r="73" spans="1:10">
      <c r="A73" s="20">
        <v>2088</v>
      </c>
      <c r="B73" s="28">
        <f t="shared" si="0"/>
        <v>2516.231035758738</v>
      </c>
      <c r="C73" s="28">
        <f t="shared" si="1"/>
        <v>666.06115652437177</v>
      </c>
      <c r="D73" s="28">
        <f t="shared" si="8"/>
        <v>75.688767786860424</v>
      </c>
      <c r="E73" s="28">
        <f t="shared" si="8"/>
        <v>75.688767786860424</v>
      </c>
      <c r="F73" s="28">
        <v>0</v>
      </c>
      <c r="G73" s="30">
        <f t="shared" si="4"/>
        <v>-64.163891411847814</v>
      </c>
      <c r="H73" s="23">
        <v>0</v>
      </c>
      <c r="I73" s="28">
        <v>1000</v>
      </c>
      <c r="J73" s="23">
        <v>0</v>
      </c>
    </row>
    <row r="74" spans="1:10">
      <c r="A74" s="20">
        <v>2089</v>
      </c>
      <c r="B74" s="28">
        <f t="shared" si="0"/>
        <v>2516.231035758738</v>
      </c>
      <c r="C74" s="28">
        <f t="shared" si="1"/>
        <v>666.06115652437177</v>
      </c>
      <c r="D74" s="28">
        <f t="shared" si="8"/>
        <v>75.688767786860424</v>
      </c>
      <c r="E74" s="28">
        <f t="shared" si="8"/>
        <v>75.688767786860424</v>
      </c>
      <c r="F74" s="28">
        <v>0</v>
      </c>
      <c r="G74" s="30">
        <f t="shared" si="4"/>
        <v>-64.163891411847814</v>
      </c>
      <c r="H74" s="23">
        <v>0</v>
      </c>
      <c r="I74" s="28">
        <v>1000</v>
      </c>
      <c r="J74" s="23">
        <v>0</v>
      </c>
    </row>
    <row r="75" spans="1:10">
      <c r="A75" s="20">
        <v>2090</v>
      </c>
      <c r="B75" s="28">
        <f t="shared" si="0"/>
        <v>2516.231035758738</v>
      </c>
      <c r="C75" s="28">
        <f t="shared" si="1"/>
        <v>666.06115652437177</v>
      </c>
      <c r="D75" s="28">
        <f t="shared" ref="D75:E85" si="9">D74</f>
        <v>75.688767786860424</v>
      </c>
      <c r="E75" s="28">
        <f t="shared" si="9"/>
        <v>75.688767786860424</v>
      </c>
      <c r="F75" s="28">
        <v>0</v>
      </c>
      <c r="G75" s="30">
        <f t="shared" si="4"/>
        <v>-64.163891411847814</v>
      </c>
      <c r="H75" s="23">
        <v>0</v>
      </c>
      <c r="I75" s="28">
        <v>1000</v>
      </c>
      <c r="J75" s="23">
        <v>0</v>
      </c>
    </row>
    <row r="76" spans="1:10">
      <c r="A76" s="20">
        <v>2091</v>
      </c>
      <c r="B76" s="28">
        <f t="shared" si="0"/>
        <v>2516.231035758738</v>
      </c>
      <c r="C76" s="28">
        <f t="shared" si="1"/>
        <v>666.06115652437177</v>
      </c>
      <c r="D76" s="28">
        <f t="shared" si="9"/>
        <v>75.688767786860424</v>
      </c>
      <c r="E76" s="28">
        <f t="shared" si="9"/>
        <v>75.688767786860424</v>
      </c>
      <c r="F76" s="28">
        <v>0</v>
      </c>
      <c r="G76" s="30">
        <f t="shared" si="4"/>
        <v>-64.163891411847814</v>
      </c>
      <c r="H76" s="23">
        <v>0</v>
      </c>
      <c r="I76" s="28">
        <v>1000</v>
      </c>
      <c r="J76" s="23">
        <v>0</v>
      </c>
    </row>
    <row r="77" spans="1:10">
      <c r="A77" s="20">
        <v>2092</v>
      </c>
      <c r="B77" s="28">
        <f t="shared" si="0"/>
        <v>2516.231035758738</v>
      </c>
      <c r="C77" s="28">
        <f t="shared" si="1"/>
        <v>666.06115652437177</v>
      </c>
      <c r="D77" s="28">
        <f t="shared" si="9"/>
        <v>75.688767786860424</v>
      </c>
      <c r="E77" s="28">
        <f t="shared" si="9"/>
        <v>75.688767786860424</v>
      </c>
      <c r="F77" s="28">
        <v>0</v>
      </c>
      <c r="G77" s="30">
        <f t="shared" si="4"/>
        <v>-64.163891411847814</v>
      </c>
      <c r="H77" s="23">
        <v>0</v>
      </c>
      <c r="I77" s="28">
        <v>1000</v>
      </c>
      <c r="J77" s="23">
        <v>0</v>
      </c>
    </row>
    <row r="78" spans="1:10">
      <c r="A78" s="20">
        <v>2093</v>
      </c>
      <c r="B78" s="28">
        <f t="shared" si="0"/>
        <v>2516.231035758738</v>
      </c>
      <c r="C78" s="28">
        <f t="shared" si="1"/>
        <v>666.06115652437177</v>
      </c>
      <c r="D78" s="28">
        <f t="shared" si="9"/>
        <v>75.688767786860424</v>
      </c>
      <c r="E78" s="28">
        <f t="shared" si="9"/>
        <v>75.688767786860424</v>
      </c>
      <c r="F78" s="28">
        <v>0</v>
      </c>
      <c r="G78" s="30">
        <f t="shared" si="4"/>
        <v>-64.163891411847814</v>
      </c>
      <c r="H78" s="23">
        <v>0</v>
      </c>
      <c r="I78" s="28">
        <v>1000</v>
      </c>
      <c r="J78" s="23">
        <v>0</v>
      </c>
    </row>
    <row r="79" spans="1:10">
      <c r="A79" s="20">
        <v>2094</v>
      </c>
      <c r="B79" s="28">
        <f t="shared" si="0"/>
        <v>2516.231035758738</v>
      </c>
      <c r="C79" s="28">
        <f t="shared" si="1"/>
        <v>666.06115652437177</v>
      </c>
      <c r="D79" s="28">
        <f t="shared" si="9"/>
        <v>75.688767786860424</v>
      </c>
      <c r="E79" s="28">
        <f t="shared" si="9"/>
        <v>75.688767786860424</v>
      </c>
      <c r="F79" s="28">
        <v>0</v>
      </c>
      <c r="G79" s="30">
        <f t="shared" si="4"/>
        <v>-64.163891411847814</v>
      </c>
      <c r="H79" s="23">
        <v>0</v>
      </c>
      <c r="I79" s="28">
        <v>1000</v>
      </c>
      <c r="J79" s="23">
        <v>0</v>
      </c>
    </row>
    <row r="80" spans="1:10">
      <c r="A80" s="20">
        <v>2095</v>
      </c>
      <c r="B80" s="28">
        <f t="shared" si="0"/>
        <v>2516.231035758738</v>
      </c>
      <c r="C80" s="28">
        <f t="shared" si="1"/>
        <v>666.06115652437177</v>
      </c>
      <c r="D80" s="28">
        <f t="shared" si="9"/>
        <v>75.688767786860424</v>
      </c>
      <c r="E80" s="28">
        <f t="shared" si="9"/>
        <v>75.688767786860424</v>
      </c>
      <c r="F80" s="28">
        <v>0</v>
      </c>
      <c r="G80" s="30">
        <f t="shared" si="4"/>
        <v>-64.163891411847814</v>
      </c>
      <c r="H80" s="23">
        <v>0</v>
      </c>
      <c r="I80" s="28">
        <v>1000</v>
      </c>
      <c r="J80" s="23">
        <v>0</v>
      </c>
    </row>
    <row r="81" spans="1:10">
      <c r="A81" s="20">
        <v>2096</v>
      </c>
      <c r="B81" s="28">
        <f t="shared" si="0"/>
        <v>2516.231035758738</v>
      </c>
      <c r="C81" s="28">
        <f t="shared" si="1"/>
        <v>666.06115652437177</v>
      </c>
      <c r="D81" s="28">
        <f t="shared" si="9"/>
        <v>75.688767786860424</v>
      </c>
      <c r="E81" s="28">
        <f t="shared" si="9"/>
        <v>75.688767786860424</v>
      </c>
      <c r="F81" s="28">
        <v>0</v>
      </c>
      <c r="G81" s="30">
        <f t="shared" si="4"/>
        <v>-64.163891411847814</v>
      </c>
      <c r="H81" s="23">
        <v>0</v>
      </c>
      <c r="I81" s="28">
        <v>1000</v>
      </c>
      <c r="J81" s="23">
        <v>0</v>
      </c>
    </row>
    <row r="82" spans="1:10">
      <c r="A82" s="20">
        <v>2097</v>
      </c>
      <c r="B82" s="28">
        <f t="shared" si="0"/>
        <v>2516.231035758738</v>
      </c>
      <c r="C82" s="28">
        <f t="shared" si="1"/>
        <v>666.06115652437177</v>
      </c>
      <c r="D82" s="28">
        <f t="shared" si="9"/>
        <v>75.688767786860424</v>
      </c>
      <c r="E82" s="28">
        <f t="shared" si="9"/>
        <v>75.688767786860424</v>
      </c>
      <c r="F82" s="28">
        <v>0</v>
      </c>
      <c r="G82" s="30">
        <f t="shared" si="4"/>
        <v>-64.163891411847814</v>
      </c>
      <c r="H82" s="23">
        <v>0</v>
      </c>
      <c r="I82" s="28">
        <v>1000</v>
      </c>
      <c r="J82" s="23">
        <v>0</v>
      </c>
    </row>
    <row r="83" spans="1:10">
      <c r="A83" s="20">
        <v>2098</v>
      </c>
      <c r="B83" s="28">
        <f t="shared" si="0"/>
        <v>2516.231035758738</v>
      </c>
      <c r="C83" s="28">
        <f t="shared" si="1"/>
        <v>666.06115652437177</v>
      </c>
      <c r="D83" s="28">
        <f t="shared" si="9"/>
        <v>75.688767786860424</v>
      </c>
      <c r="E83" s="28">
        <f t="shared" si="9"/>
        <v>75.688767786860424</v>
      </c>
      <c r="F83" s="28">
        <v>0</v>
      </c>
      <c r="G83" s="30">
        <f t="shared" si="4"/>
        <v>-64.163891411847814</v>
      </c>
      <c r="H83" s="23">
        <v>0</v>
      </c>
      <c r="I83" s="28">
        <v>1000</v>
      </c>
      <c r="J83" s="23">
        <v>0</v>
      </c>
    </row>
    <row r="84" spans="1:10">
      <c r="A84" s="20">
        <v>2099</v>
      </c>
      <c r="B84" s="28">
        <f t="shared" si="0"/>
        <v>2516.231035758738</v>
      </c>
      <c r="C84" s="28">
        <f t="shared" si="1"/>
        <v>666.06115652437177</v>
      </c>
      <c r="D84" s="28">
        <f t="shared" si="9"/>
        <v>75.688767786860424</v>
      </c>
      <c r="E84" s="28">
        <f t="shared" si="9"/>
        <v>75.688767786860424</v>
      </c>
      <c r="F84" s="28">
        <v>0</v>
      </c>
      <c r="G84" s="30">
        <f t="shared" si="4"/>
        <v>-64.163891411847814</v>
      </c>
      <c r="H84" s="23">
        <v>0</v>
      </c>
      <c r="I84" s="28">
        <v>1000</v>
      </c>
      <c r="J84" s="23">
        <v>0</v>
      </c>
    </row>
    <row r="85" spans="1:10">
      <c r="A85" s="20">
        <v>2100</v>
      </c>
      <c r="B85" s="28">
        <f t="shared" ref="B85" si="10">((C85*1000*16)/3600)*0.85</f>
        <v>2516.231035758738</v>
      </c>
      <c r="C85" s="28">
        <f t="shared" ref="C85" si="11">D85*8.8</f>
        <v>666.06115652437177</v>
      </c>
      <c r="D85" s="28">
        <f t="shared" si="9"/>
        <v>75.688767786860424</v>
      </c>
      <c r="E85" s="28">
        <f t="shared" si="9"/>
        <v>75.688767786860424</v>
      </c>
      <c r="F85" s="28">
        <v>0</v>
      </c>
      <c r="G85" s="30">
        <f t="shared" ref="G85" si="12">-B85*0.255*0.1</f>
        <v>-64.163891411847814</v>
      </c>
      <c r="H85" s="23">
        <v>0</v>
      </c>
      <c r="I85" s="28">
        <v>1000</v>
      </c>
      <c r="J85" s="23">
        <v>0</v>
      </c>
    </row>
    <row r="86" spans="1:10">
      <c r="A86" s="20"/>
      <c r="B86" s="23"/>
      <c r="C86" s="23"/>
      <c r="D86" s="20"/>
      <c r="E86" s="20"/>
      <c r="F86" s="20"/>
      <c r="G86" s="26"/>
      <c r="H86" s="26"/>
      <c r="I86" s="23"/>
      <c r="J86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Styles, David</dc:creator>
  <cp:keywords/>
  <dc:description/>
  <cp:lastModifiedBy/>
  <cp:revision/>
  <dcterms:created xsi:type="dcterms:W3CDTF">2026-01-16T13:49:22Z</dcterms:created>
  <dcterms:modified xsi:type="dcterms:W3CDTF">2026-02-12T15:45:11Z</dcterms:modified>
  <cp:category/>
  <cp:contentStatus/>
</cp:coreProperties>
</file>