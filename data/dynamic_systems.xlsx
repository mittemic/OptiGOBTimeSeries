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mim26609\workspace\claude\OptiGOBTimeSeries\data\"/>
    </mc:Choice>
  </mc:AlternateContent>
  <xr:revisionPtr revIDLastSave="0" documentId="13_ncr:1_{4B178BB4-DDDF-4BFD-A96D-41ADCEF62AEC}" xr6:coauthVersionLast="47" xr6:coauthVersionMax="47" xr10:uidLastSave="{00000000-0000-0000-0000-000000000000}"/>
  <bookViews>
    <workbookView xWindow="28680" yWindow="-120" windowWidth="29040" windowHeight="17520" activeTab="1" xr2:uid="{00000000-000D-0000-FFFF-FFFF00000000}"/>
  </bookViews>
  <sheets>
    <sheet name="cattle" sheetId="1" r:id="rId1"/>
    <sheet name="non_cattle" sheetId="2" r:id="rId2"/>
    <sheet name="scalers" sheetId="3" r:id="rId3"/>
    <sheet name="organic_soil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C16" i="1"/>
  <c r="C14" i="1"/>
  <c r="M11" i="2"/>
  <c r="I11" i="2"/>
  <c r="D11" i="2"/>
  <c r="E11" i="2"/>
  <c r="F11" i="2"/>
  <c r="G11" i="2"/>
  <c r="H11" i="2"/>
  <c r="J11" i="2"/>
  <c r="K11" i="2"/>
  <c r="L11" i="2"/>
  <c r="N11" i="2"/>
  <c r="O11" i="2"/>
  <c r="C11" i="2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C15" i="1"/>
</calcChain>
</file>

<file path=xl/sharedStrings.xml><?xml version="1.0" encoding="utf-8"?>
<sst xmlns="http://schemas.openxmlformats.org/spreadsheetml/2006/main" count="217" uniqueCount="61">
  <si>
    <t>Abatement</t>
  </si>
  <si>
    <t>2020 BL</t>
  </si>
  <si>
    <t>MACC</t>
  </si>
  <si>
    <t>Frontier</t>
  </si>
  <si>
    <t>Productivity</t>
  </si>
  <si>
    <t>2020 Prod</t>
  </si>
  <si>
    <t>Medium increase</t>
  </si>
  <si>
    <t>Strong increase</t>
  </si>
  <si>
    <t>Scenario</t>
  </si>
  <si>
    <t>System</t>
  </si>
  <si>
    <t>Dairy</t>
  </si>
  <si>
    <t>Beef</t>
  </si>
  <si>
    <t>Spared Cattle/Sheep area</t>
  </si>
  <si>
    <t>unit</t>
  </si>
  <si>
    <t>kt</t>
  </si>
  <si>
    <t>area_dairy</t>
  </si>
  <si>
    <t>ha</t>
  </si>
  <si>
    <t>area_beef</t>
  </si>
  <si>
    <t>protein_milk</t>
  </si>
  <si>
    <t>t</t>
  </si>
  <si>
    <t>protein_beef</t>
  </si>
  <si>
    <t>human_consumed_protein</t>
  </si>
  <si>
    <t>total_cattle_numbers</t>
  </si>
  <si>
    <t>head</t>
  </si>
  <si>
    <t>hnv_area</t>
  </si>
  <si>
    <t>feed</t>
  </si>
  <si>
    <t>N_fertiliser</t>
  </si>
  <si>
    <t>P_fertiliser</t>
  </si>
  <si>
    <t>K_fertiliser</t>
  </si>
  <si>
    <t>NH3</t>
  </si>
  <si>
    <t>N_leaching</t>
  </si>
  <si>
    <t>P_leaching</t>
  </si>
  <si>
    <t>Volatile_solids_excreted</t>
  </si>
  <si>
    <t>Pigs</t>
  </si>
  <si>
    <t>Poultry</t>
  </si>
  <si>
    <t>Crops</t>
  </si>
  <si>
    <t>No-Crops</t>
  </si>
  <si>
    <t>Sheep</t>
  </si>
  <si>
    <t>area</t>
  </si>
  <si>
    <t>protein</t>
  </si>
  <si>
    <t>Year</t>
  </si>
  <si>
    <t>Organic soil type</t>
  </si>
  <si>
    <t>Organic soil under grass</t>
  </si>
  <si>
    <t>Near natural wetlands</t>
  </si>
  <si>
    <t>Industrial peat</t>
  </si>
  <si>
    <t>Domestic peat</t>
  </si>
  <si>
    <t>Drainage status</t>
  </si>
  <si>
    <t>Drained</t>
  </si>
  <si>
    <t>Rewetted</t>
  </si>
  <si>
    <t>Natural</t>
  </si>
  <si>
    <t>kt/ha</t>
  </si>
  <si>
    <t>hnv_area_ratio</t>
  </si>
  <si>
    <t>ch4</t>
  </si>
  <si>
    <t>n2o</t>
  </si>
  <si>
    <t>co2e</t>
  </si>
  <si>
    <t>co2</t>
  </si>
  <si>
    <t>nh3</t>
  </si>
  <si>
    <t>milk_yield</t>
  </si>
  <si>
    <t>beef_carcass_yield</t>
  </si>
  <si>
    <t>total_yield</t>
  </si>
  <si>
    <t>raw_output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</si>
</sst>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0.0E+00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164" fontId="0" fillId="0" borderId="0" xfId="0" applyNumberFormat="1"/>
    <xf numFmtId="11" fontId="0" fillId="0" borderId="0" xfId="0" applyNumberFormat="1"/>
    <xf numFmtId="165" fontId="0" fillId="0" borderId="0" xfId="0" applyNumberFormat="1"/>
    <xf numFmtId="3" fontId="0" fillId="0" borderId="0" xfId="0" applyNumberFormat="1"/>
    <xf numFmtId="43" fontId="0" fillId="0" borderId="0" xfId="0" applyNumberFormat="1"/>
    <xf numFmtId="4" fontId="0" fillId="0" borderId="0" xfId="0" applyNumberForma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workbookViewId="0">
      <selection activeCell="A16" sqref="A16"/>
    </sheetView>
  </sheetViews>
  <sheetFormatPr defaultRowHeight="15" x14ac:dyDescent="0.25"/>
  <cols>
    <col min="1" max="1" width="24.42578125" bestFit="1" customWidth="1"/>
    <col min="2" max="2" width="5.42578125" bestFit="1" customWidth="1"/>
    <col min="3" max="3" width="11" bestFit="1" customWidth="1"/>
    <col min="4" max="4" width="9.85546875" bestFit="1" customWidth="1"/>
    <col min="5" max="5" width="9.85546875" customWidth="1"/>
    <col min="6" max="7" width="16" bestFit="1" customWidth="1"/>
    <col min="8" max="9" width="14.5703125" bestFit="1" customWidth="1"/>
    <col min="10" max="10" width="11" bestFit="1" customWidth="1"/>
    <col min="11" max="11" width="9.85546875" bestFit="1" customWidth="1"/>
    <col min="12" max="13" width="16" bestFit="1" customWidth="1"/>
    <col min="14" max="15" width="14.5703125" bestFit="1" customWidth="1"/>
    <col min="16" max="16" width="11" bestFit="1" customWidth="1"/>
    <col min="17" max="17" width="9.85546875" bestFit="1" customWidth="1"/>
    <col min="18" max="19" width="16" bestFit="1" customWidth="1"/>
    <col min="20" max="21" width="14.5703125" bestFit="1" customWidth="1"/>
  </cols>
  <sheetData>
    <row r="1" spans="1:21" x14ac:dyDescent="0.25">
      <c r="A1" s="1" t="s">
        <v>0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2</v>
      </c>
      <c r="K1" s="1" t="s">
        <v>2</v>
      </c>
      <c r="L1" s="1" t="s">
        <v>2</v>
      </c>
      <c r="M1" s="1" t="s">
        <v>2</v>
      </c>
      <c r="N1" s="1" t="s">
        <v>2</v>
      </c>
      <c r="O1" s="1" t="s">
        <v>2</v>
      </c>
      <c r="P1" s="1" t="s">
        <v>3</v>
      </c>
      <c r="Q1" s="1" t="s">
        <v>3</v>
      </c>
      <c r="R1" s="1" t="s">
        <v>3</v>
      </c>
      <c r="S1" s="1" t="s">
        <v>3</v>
      </c>
      <c r="T1" s="1" t="s">
        <v>3</v>
      </c>
      <c r="U1" s="1" t="s">
        <v>3</v>
      </c>
    </row>
    <row r="2" spans="1:21" x14ac:dyDescent="0.25">
      <c r="A2" s="1" t="s">
        <v>4</v>
      </c>
      <c r="B2" s="1"/>
      <c r="C2" s="1" t="s">
        <v>5</v>
      </c>
      <c r="D2" s="1" t="s">
        <v>5</v>
      </c>
      <c r="E2" s="1" t="s">
        <v>5</v>
      </c>
      <c r="F2" s="1" t="s">
        <v>6</v>
      </c>
      <c r="G2" s="1" t="s">
        <v>6</v>
      </c>
      <c r="H2" s="1" t="s">
        <v>7</v>
      </c>
      <c r="I2" s="1" t="s">
        <v>7</v>
      </c>
      <c r="J2" s="1" t="s">
        <v>5</v>
      </c>
      <c r="K2" s="1" t="s">
        <v>5</v>
      </c>
      <c r="L2" s="1" t="s">
        <v>6</v>
      </c>
      <c r="M2" s="1" t="s">
        <v>6</v>
      </c>
      <c r="N2" s="1" t="s">
        <v>7</v>
      </c>
      <c r="O2" s="1" t="s">
        <v>7</v>
      </c>
      <c r="P2" s="1" t="s">
        <v>5</v>
      </c>
      <c r="Q2" s="1" t="s">
        <v>5</v>
      </c>
      <c r="R2" s="1" t="s">
        <v>6</v>
      </c>
      <c r="S2" s="1" t="s">
        <v>6</v>
      </c>
      <c r="T2" s="1" t="s">
        <v>7</v>
      </c>
      <c r="U2" s="1" t="s">
        <v>7</v>
      </c>
    </row>
    <row r="3" spans="1:21" x14ac:dyDescent="0.25">
      <c r="A3" s="1" t="s">
        <v>8</v>
      </c>
      <c r="B3" s="1"/>
      <c r="C3" s="1">
        <v>1</v>
      </c>
      <c r="D3" s="1">
        <v>1</v>
      </c>
      <c r="E3" s="1">
        <v>1</v>
      </c>
      <c r="F3" s="1">
        <v>2</v>
      </c>
      <c r="G3" s="1">
        <v>2</v>
      </c>
      <c r="H3" s="1">
        <v>3</v>
      </c>
      <c r="I3" s="1">
        <v>3</v>
      </c>
      <c r="J3" s="1">
        <v>4</v>
      </c>
      <c r="K3" s="1">
        <v>4</v>
      </c>
      <c r="L3" s="1">
        <v>5</v>
      </c>
      <c r="M3" s="1">
        <v>5</v>
      </c>
      <c r="N3" s="1">
        <v>6</v>
      </c>
      <c r="O3" s="1">
        <v>6</v>
      </c>
      <c r="P3" s="1">
        <v>7</v>
      </c>
      <c r="Q3" s="1">
        <v>7</v>
      </c>
      <c r="R3" s="1">
        <v>8</v>
      </c>
      <c r="S3" s="1">
        <v>8</v>
      </c>
      <c r="T3" s="1">
        <v>9</v>
      </c>
      <c r="U3" s="1">
        <v>9</v>
      </c>
    </row>
    <row r="4" spans="1:21" x14ac:dyDescent="0.25">
      <c r="A4" s="1" t="s">
        <v>9</v>
      </c>
      <c r="B4" s="1"/>
      <c r="C4" s="1" t="s">
        <v>10</v>
      </c>
      <c r="D4" s="1" t="s">
        <v>11</v>
      </c>
      <c r="E4" s="1" t="s">
        <v>12</v>
      </c>
      <c r="F4" s="1" t="s">
        <v>10</v>
      </c>
      <c r="G4" s="1" t="s">
        <v>11</v>
      </c>
      <c r="H4" s="1" t="s">
        <v>10</v>
      </c>
      <c r="I4" s="1" t="s">
        <v>11</v>
      </c>
      <c r="J4" s="1" t="s">
        <v>10</v>
      </c>
      <c r="K4" s="1" t="s">
        <v>11</v>
      </c>
      <c r="L4" s="1" t="s">
        <v>10</v>
      </c>
      <c r="M4" s="1" t="s">
        <v>11</v>
      </c>
      <c r="N4" s="1" t="s">
        <v>10</v>
      </c>
      <c r="O4" s="1" t="s">
        <v>11</v>
      </c>
      <c r="P4" s="1" t="s">
        <v>10</v>
      </c>
      <c r="Q4" s="1" t="s">
        <v>11</v>
      </c>
      <c r="R4" s="1" t="s">
        <v>10</v>
      </c>
      <c r="S4" s="1" t="s">
        <v>11</v>
      </c>
      <c r="T4" s="1" t="s">
        <v>10</v>
      </c>
      <c r="U4" s="1" t="s">
        <v>11</v>
      </c>
    </row>
    <row r="5" spans="1:21" x14ac:dyDescent="0.25">
      <c r="B5" s="1" t="s">
        <v>13</v>
      </c>
    </row>
    <row r="6" spans="1:21" x14ac:dyDescent="0.25">
      <c r="A6" s="1" t="s">
        <v>52</v>
      </c>
      <c r="B6" s="1" t="s">
        <v>14</v>
      </c>
      <c r="C6" s="1">
        <v>2.1</v>
      </c>
      <c r="D6" s="1">
        <v>1.9</v>
      </c>
      <c r="E6" s="1">
        <v>0</v>
      </c>
      <c r="F6" s="1">
        <v>2.15</v>
      </c>
      <c r="G6" s="1">
        <v>1.89</v>
      </c>
      <c r="H6" s="1">
        <v>2.2000000000000002</v>
      </c>
      <c r="I6" s="1">
        <v>1.9</v>
      </c>
      <c r="J6" s="1">
        <v>1.67</v>
      </c>
      <c r="K6" s="1">
        <v>1.54</v>
      </c>
      <c r="L6" s="1">
        <v>1.7</v>
      </c>
      <c r="M6" s="1">
        <v>1.5</v>
      </c>
      <c r="N6" s="1">
        <v>1.8</v>
      </c>
      <c r="O6" s="1">
        <v>1.5</v>
      </c>
      <c r="P6" s="1">
        <v>1.36</v>
      </c>
      <c r="Q6" s="1">
        <v>1.26</v>
      </c>
      <c r="R6" s="1">
        <v>1.4</v>
      </c>
      <c r="S6" s="1">
        <v>1.2</v>
      </c>
      <c r="T6" s="1">
        <v>1.5</v>
      </c>
      <c r="U6" s="1">
        <v>1.24</v>
      </c>
    </row>
    <row r="7" spans="1:21" x14ac:dyDescent="0.25">
      <c r="A7" s="1" t="s">
        <v>53</v>
      </c>
      <c r="B7" s="1" t="s">
        <v>14</v>
      </c>
      <c r="C7" s="1">
        <v>0.1</v>
      </c>
      <c r="D7" s="1">
        <v>0.1</v>
      </c>
      <c r="E7" s="1">
        <v>0</v>
      </c>
      <c r="F7" s="1">
        <v>0.06</v>
      </c>
      <c r="G7" s="1">
        <v>0.06</v>
      </c>
      <c r="H7" s="1">
        <v>0.1</v>
      </c>
      <c r="I7" s="1">
        <v>0.1</v>
      </c>
      <c r="J7" s="1">
        <v>0.05</v>
      </c>
      <c r="K7" s="1">
        <v>0.05</v>
      </c>
      <c r="L7" s="1">
        <v>0</v>
      </c>
      <c r="M7" s="1">
        <v>0.1</v>
      </c>
      <c r="N7" s="1">
        <v>0</v>
      </c>
      <c r="O7" s="1">
        <v>0</v>
      </c>
      <c r="P7" s="1">
        <v>0.04</v>
      </c>
      <c r="Q7" s="1">
        <v>0.04</v>
      </c>
      <c r="R7" s="1">
        <v>0</v>
      </c>
      <c r="S7" s="1">
        <v>0</v>
      </c>
      <c r="T7" s="1">
        <v>0</v>
      </c>
      <c r="U7" s="1">
        <v>0.04</v>
      </c>
    </row>
    <row r="8" spans="1:21" x14ac:dyDescent="0.25">
      <c r="A8" s="1" t="s">
        <v>55</v>
      </c>
      <c r="B8" s="1" t="s">
        <v>14</v>
      </c>
      <c r="C8" s="1">
        <v>0.3</v>
      </c>
      <c r="D8" s="1">
        <v>0.4</v>
      </c>
      <c r="E8" s="1">
        <v>0</v>
      </c>
      <c r="F8" s="1">
        <v>0.3</v>
      </c>
      <c r="G8" s="1">
        <v>0.41</v>
      </c>
      <c r="H8" s="1">
        <v>0.3</v>
      </c>
      <c r="I8" s="1">
        <v>0.4</v>
      </c>
      <c r="J8" s="1">
        <v>0.25</v>
      </c>
      <c r="K8" s="1">
        <v>0.34</v>
      </c>
      <c r="L8" s="1">
        <v>0.2</v>
      </c>
      <c r="M8" s="1">
        <v>0.3</v>
      </c>
      <c r="N8" s="1">
        <v>0.2</v>
      </c>
      <c r="O8" s="1">
        <v>0.3</v>
      </c>
      <c r="P8" s="1">
        <v>1.35</v>
      </c>
      <c r="Q8" s="1">
        <v>1.59</v>
      </c>
      <c r="R8" s="1">
        <v>1.3</v>
      </c>
      <c r="S8" s="1">
        <v>1.5</v>
      </c>
      <c r="T8" s="1">
        <v>1.3</v>
      </c>
      <c r="U8" s="1">
        <v>1.47</v>
      </c>
    </row>
    <row r="9" spans="1:21" x14ac:dyDescent="0.25">
      <c r="A9" s="1" t="s">
        <v>54</v>
      </c>
      <c r="B9" s="1" t="s">
        <v>14</v>
      </c>
      <c r="C9" s="1">
        <v>73.900000000000006</v>
      </c>
      <c r="D9" s="1">
        <v>70.900000000000006</v>
      </c>
      <c r="E9" s="1">
        <v>0</v>
      </c>
      <c r="F9" s="1">
        <v>76.63</v>
      </c>
      <c r="G9" s="1">
        <v>69.86</v>
      </c>
      <c r="H9" s="1">
        <v>79.400000000000006</v>
      </c>
      <c r="I9" s="1">
        <v>68.8</v>
      </c>
      <c r="J9" s="1">
        <v>59.85</v>
      </c>
      <c r="K9" s="1">
        <v>57.47</v>
      </c>
      <c r="L9" s="1">
        <v>62.1</v>
      </c>
      <c r="M9" s="1">
        <v>56.6</v>
      </c>
      <c r="N9" s="1">
        <v>64.3</v>
      </c>
      <c r="O9" s="1">
        <v>55.7</v>
      </c>
      <c r="P9" s="1">
        <v>50.82</v>
      </c>
      <c r="Q9" s="1">
        <v>48</v>
      </c>
      <c r="R9" s="1">
        <v>52.8</v>
      </c>
      <c r="S9" s="1">
        <v>47.3</v>
      </c>
      <c r="T9" s="1">
        <v>54.7</v>
      </c>
      <c r="U9" s="1">
        <v>46.51</v>
      </c>
    </row>
    <row r="10" spans="1:21" x14ac:dyDescent="0.25">
      <c r="A10" s="1" t="s">
        <v>15</v>
      </c>
      <c r="B10" s="1" t="s">
        <v>16</v>
      </c>
      <c r="C10" s="2">
        <v>6255.4</v>
      </c>
      <c r="D10" s="1">
        <v>0</v>
      </c>
      <c r="E10" s="1">
        <v>0</v>
      </c>
      <c r="F10" s="2">
        <v>6199.7</v>
      </c>
      <c r="G10" s="1">
        <v>0</v>
      </c>
      <c r="H10" s="2">
        <v>6656.1</v>
      </c>
      <c r="I10" s="1">
        <v>0</v>
      </c>
      <c r="J10" s="2">
        <v>6255.4</v>
      </c>
      <c r="K10" s="1">
        <v>0</v>
      </c>
      <c r="L10" s="2">
        <v>6199.7</v>
      </c>
      <c r="M10" s="1">
        <v>0</v>
      </c>
      <c r="N10" s="2">
        <v>6656.1</v>
      </c>
      <c r="O10" s="1">
        <v>0</v>
      </c>
      <c r="P10" s="2">
        <v>5480.6</v>
      </c>
      <c r="Q10" s="1">
        <v>0</v>
      </c>
      <c r="R10" s="2">
        <v>5468.3</v>
      </c>
      <c r="S10" s="1">
        <v>0</v>
      </c>
      <c r="T10" s="2">
        <v>5910.7</v>
      </c>
      <c r="U10" s="1">
        <v>0</v>
      </c>
    </row>
    <row r="11" spans="1:21" x14ac:dyDescent="0.25">
      <c r="A11" s="1" t="s">
        <v>17</v>
      </c>
      <c r="B11" s="1" t="s">
        <v>16</v>
      </c>
      <c r="C11" s="2">
        <v>4170.2</v>
      </c>
      <c r="D11" s="2">
        <v>14353.6</v>
      </c>
      <c r="E11" s="2">
        <v>0</v>
      </c>
      <c r="F11" s="2">
        <v>4133.1000000000004</v>
      </c>
      <c r="G11" s="2">
        <v>13755.3</v>
      </c>
      <c r="H11" s="2">
        <v>3584</v>
      </c>
      <c r="I11" s="2">
        <v>13157.1</v>
      </c>
      <c r="J11" s="2">
        <v>4170.2</v>
      </c>
      <c r="K11" s="2">
        <v>14353.6</v>
      </c>
      <c r="L11" s="2">
        <v>4133.1000000000004</v>
      </c>
      <c r="M11" s="2">
        <v>13755.3</v>
      </c>
      <c r="N11" s="2">
        <v>3584</v>
      </c>
      <c r="O11" s="2">
        <v>13157.1</v>
      </c>
      <c r="P11" s="2">
        <v>3653.8</v>
      </c>
      <c r="Q11" s="2">
        <v>10783.1</v>
      </c>
      <c r="R11" s="2">
        <v>3645.6</v>
      </c>
      <c r="S11" s="2">
        <v>10381.5</v>
      </c>
      <c r="T11" s="2">
        <v>3182.7</v>
      </c>
      <c r="U11" s="2">
        <v>9980</v>
      </c>
    </row>
    <row r="12" spans="1:21" x14ac:dyDescent="0.25">
      <c r="A12" t="s">
        <v>57</v>
      </c>
      <c r="B12" s="1" t="s">
        <v>19</v>
      </c>
      <c r="C12" s="3">
        <v>54202.5</v>
      </c>
      <c r="D12" s="1">
        <v>0</v>
      </c>
      <c r="E12" s="1">
        <v>0</v>
      </c>
      <c r="F12" s="3">
        <v>62204.76</v>
      </c>
      <c r="G12" s="1">
        <v>0</v>
      </c>
      <c r="H12" s="3">
        <v>70207.02</v>
      </c>
      <c r="I12" s="1">
        <v>0</v>
      </c>
      <c r="J12" s="3">
        <v>54202.5</v>
      </c>
      <c r="K12" s="1">
        <v>0</v>
      </c>
      <c r="L12" s="3">
        <v>62204.76</v>
      </c>
      <c r="M12" s="1">
        <v>0</v>
      </c>
      <c r="N12" s="3">
        <v>70207.02</v>
      </c>
      <c r="O12" s="1">
        <v>0</v>
      </c>
      <c r="P12" s="3">
        <v>54202.5</v>
      </c>
      <c r="Q12" s="1">
        <v>0</v>
      </c>
      <c r="R12" s="3">
        <v>62204.76</v>
      </c>
      <c r="S12" s="1">
        <v>0</v>
      </c>
      <c r="T12" s="3">
        <v>70207.02</v>
      </c>
      <c r="U12" s="1">
        <v>0</v>
      </c>
    </row>
    <row r="13" spans="1:21" x14ac:dyDescent="0.25">
      <c r="A13" t="s">
        <v>58</v>
      </c>
      <c r="B13" s="1" t="s">
        <v>19</v>
      </c>
      <c r="C13" s="3">
        <v>2421.607</v>
      </c>
      <c r="D13" s="3">
        <v>3008.317</v>
      </c>
      <c r="E13" s="3">
        <v>0</v>
      </c>
      <c r="F13" s="3">
        <v>2421.607</v>
      </c>
      <c r="G13" s="3">
        <v>3008.317</v>
      </c>
      <c r="H13" s="3">
        <v>2421.607</v>
      </c>
      <c r="I13" s="3">
        <v>3008.317</v>
      </c>
      <c r="J13" s="3">
        <v>2421.607</v>
      </c>
      <c r="K13" s="3">
        <v>3008.317</v>
      </c>
      <c r="L13" s="3">
        <v>2421.607</v>
      </c>
      <c r="M13" s="3">
        <v>3008.317</v>
      </c>
      <c r="N13" s="3">
        <v>2421.607</v>
      </c>
      <c r="O13" s="3">
        <v>3008.317</v>
      </c>
      <c r="P13" s="3">
        <v>2421.607</v>
      </c>
      <c r="Q13" s="3">
        <v>3008.317</v>
      </c>
      <c r="R13" s="3">
        <v>2421.607</v>
      </c>
      <c r="S13" s="3">
        <v>3008.317</v>
      </c>
      <c r="T13" s="3">
        <v>2421.607</v>
      </c>
      <c r="U13" s="3">
        <v>3008.317</v>
      </c>
    </row>
    <row r="14" spans="1:21" x14ac:dyDescent="0.25">
      <c r="A14" s="1" t="s">
        <v>18</v>
      </c>
      <c r="B14" s="1" t="s">
        <v>19</v>
      </c>
      <c r="C14" s="3">
        <f>0.035*C12</f>
        <v>1897.0875000000001</v>
      </c>
      <c r="D14" s="3">
        <f t="shared" ref="D14:U14" si="0">0.035*D12</f>
        <v>0</v>
      </c>
      <c r="E14" s="3">
        <f t="shared" si="0"/>
        <v>0</v>
      </c>
      <c r="F14" s="3">
        <f t="shared" si="0"/>
        <v>2177.1666000000005</v>
      </c>
      <c r="G14" s="3">
        <f t="shared" si="0"/>
        <v>0</v>
      </c>
      <c r="H14" s="3">
        <f t="shared" si="0"/>
        <v>2457.2457000000004</v>
      </c>
      <c r="I14" s="3">
        <f t="shared" si="0"/>
        <v>0</v>
      </c>
      <c r="J14" s="3">
        <f t="shared" si="0"/>
        <v>1897.0875000000001</v>
      </c>
      <c r="K14" s="3">
        <f t="shared" si="0"/>
        <v>0</v>
      </c>
      <c r="L14" s="3">
        <f t="shared" si="0"/>
        <v>2177.1666000000005</v>
      </c>
      <c r="M14" s="3">
        <f t="shared" si="0"/>
        <v>0</v>
      </c>
      <c r="N14" s="3">
        <f t="shared" si="0"/>
        <v>2457.2457000000004</v>
      </c>
      <c r="O14" s="3">
        <f t="shared" si="0"/>
        <v>0</v>
      </c>
      <c r="P14" s="3">
        <f t="shared" si="0"/>
        <v>1897.0875000000001</v>
      </c>
      <c r="Q14" s="3">
        <f t="shared" si="0"/>
        <v>0</v>
      </c>
      <c r="R14" s="3">
        <f t="shared" si="0"/>
        <v>2177.1666000000005</v>
      </c>
      <c r="S14" s="3">
        <f t="shared" si="0"/>
        <v>0</v>
      </c>
      <c r="T14" s="3">
        <f t="shared" si="0"/>
        <v>2457.2457000000004</v>
      </c>
      <c r="U14" s="3">
        <f t="shared" si="0"/>
        <v>0</v>
      </c>
    </row>
    <row r="15" spans="1:21" x14ac:dyDescent="0.25">
      <c r="A15" s="1" t="s">
        <v>20</v>
      </c>
      <c r="B15" s="1" t="s">
        <v>19</v>
      </c>
      <c r="C15" s="3">
        <f>0.23*C13</f>
        <v>556.96960999999999</v>
      </c>
      <c r="D15" s="3">
        <f t="shared" ref="D15:U15" si="1">0.23*D13</f>
        <v>691.91291000000001</v>
      </c>
      <c r="E15" s="3">
        <f t="shared" si="1"/>
        <v>0</v>
      </c>
      <c r="F15" s="3">
        <f t="shared" si="1"/>
        <v>556.96960999999999</v>
      </c>
      <c r="G15" s="3">
        <f t="shared" si="1"/>
        <v>691.91291000000001</v>
      </c>
      <c r="H15" s="3">
        <f t="shared" si="1"/>
        <v>556.96960999999999</v>
      </c>
      <c r="I15" s="3">
        <f t="shared" si="1"/>
        <v>691.91291000000001</v>
      </c>
      <c r="J15" s="3">
        <f t="shared" si="1"/>
        <v>556.96960999999999</v>
      </c>
      <c r="K15" s="3">
        <f t="shared" si="1"/>
        <v>691.91291000000001</v>
      </c>
      <c r="L15" s="3">
        <f t="shared" si="1"/>
        <v>556.96960999999999</v>
      </c>
      <c r="M15" s="3">
        <f t="shared" si="1"/>
        <v>691.91291000000001</v>
      </c>
      <c r="N15" s="3">
        <f t="shared" si="1"/>
        <v>556.96960999999999</v>
      </c>
      <c r="O15" s="3">
        <f t="shared" si="1"/>
        <v>691.91291000000001</v>
      </c>
      <c r="P15" s="3">
        <f t="shared" si="1"/>
        <v>556.96960999999999</v>
      </c>
      <c r="Q15" s="3">
        <f t="shared" si="1"/>
        <v>691.91291000000001</v>
      </c>
      <c r="R15" s="3">
        <f t="shared" si="1"/>
        <v>556.96960999999999</v>
      </c>
      <c r="S15" s="3">
        <f t="shared" si="1"/>
        <v>691.91291000000001</v>
      </c>
      <c r="T15" s="3">
        <f t="shared" si="1"/>
        <v>556.96960999999999</v>
      </c>
      <c r="U15" s="3">
        <f t="shared" si="1"/>
        <v>691.91291000000001</v>
      </c>
    </row>
    <row r="16" spans="1:21" x14ac:dyDescent="0.25">
      <c r="A16" s="1" t="s">
        <v>59</v>
      </c>
      <c r="B16" s="1" t="s">
        <v>19</v>
      </c>
      <c r="C16" s="3">
        <f>C12+C13</f>
        <v>56624.107000000004</v>
      </c>
      <c r="D16" s="3">
        <f t="shared" ref="D16:U16" si="2">D12+D13</f>
        <v>3008.317</v>
      </c>
      <c r="E16" s="3">
        <f t="shared" si="2"/>
        <v>0</v>
      </c>
      <c r="F16" s="3">
        <f t="shared" si="2"/>
        <v>64626.366999999998</v>
      </c>
      <c r="G16" s="3">
        <f t="shared" si="2"/>
        <v>3008.317</v>
      </c>
      <c r="H16" s="3">
        <f t="shared" si="2"/>
        <v>72628.627000000008</v>
      </c>
      <c r="I16" s="3">
        <f t="shared" si="2"/>
        <v>3008.317</v>
      </c>
      <c r="J16" s="3">
        <f t="shared" si="2"/>
        <v>56624.107000000004</v>
      </c>
      <c r="K16" s="3">
        <f t="shared" si="2"/>
        <v>3008.317</v>
      </c>
      <c r="L16" s="3">
        <f t="shared" si="2"/>
        <v>64626.366999999998</v>
      </c>
      <c r="M16" s="3">
        <f t="shared" si="2"/>
        <v>3008.317</v>
      </c>
      <c r="N16" s="3">
        <f t="shared" si="2"/>
        <v>72628.627000000008</v>
      </c>
      <c r="O16" s="3">
        <f t="shared" si="2"/>
        <v>3008.317</v>
      </c>
      <c r="P16" s="3">
        <f t="shared" si="2"/>
        <v>56624.107000000004</v>
      </c>
      <c r="Q16" s="3">
        <f t="shared" si="2"/>
        <v>3008.317</v>
      </c>
      <c r="R16" s="3">
        <f t="shared" si="2"/>
        <v>64626.366999999998</v>
      </c>
      <c r="S16" s="3">
        <f t="shared" si="2"/>
        <v>3008.317</v>
      </c>
      <c r="T16" s="3">
        <f t="shared" si="2"/>
        <v>72628.627000000008</v>
      </c>
      <c r="U16" s="3">
        <f t="shared" si="2"/>
        <v>3008.317</v>
      </c>
    </row>
    <row r="17" spans="1:21" x14ac:dyDescent="0.25">
      <c r="A17" s="1" t="s">
        <v>22</v>
      </c>
      <c r="B17" s="1" t="s">
        <v>23</v>
      </c>
      <c r="C17" s="3">
        <v>27439</v>
      </c>
      <c r="D17" s="3">
        <v>28177</v>
      </c>
      <c r="E17" s="3">
        <v>0</v>
      </c>
      <c r="F17" s="3">
        <v>27439</v>
      </c>
      <c r="G17" s="3">
        <v>28177</v>
      </c>
      <c r="H17" s="3">
        <v>25934</v>
      </c>
      <c r="I17" s="3">
        <v>26203</v>
      </c>
      <c r="J17" s="3">
        <v>27439</v>
      </c>
      <c r="K17" s="3">
        <v>28177</v>
      </c>
      <c r="L17" s="3">
        <v>27439</v>
      </c>
      <c r="M17" s="3">
        <v>28177</v>
      </c>
      <c r="N17" s="3">
        <v>25934</v>
      </c>
      <c r="O17" s="3">
        <v>26203</v>
      </c>
      <c r="P17" s="3">
        <v>27439</v>
      </c>
      <c r="Q17" s="3">
        <v>28177</v>
      </c>
      <c r="R17" s="3">
        <v>27439</v>
      </c>
      <c r="S17" s="3">
        <v>28177</v>
      </c>
      <c r="T17" s="3">
        <v>25934</v>
      </c>
      <c r="U17" s="3">
        <v>26203</v>
      </c>
    </row>
    <row r="18" spans="1:21" x14ac:dyDescent="0.25">
      <c r="A18" s="1" t="s">
        <v>24</v>
      </c>
      <c r="B18" s="1" t="s">
        <v>16</v>
      </c>
      <c r="C18" s="2">
        <v>1390.1</v>
      </c>
      <c r="D18" s="2">
        <v>4784.5</v>
      </c>
      <c r="E18" s="2">
        <v>0</v>
      </c>
      <c r="F18" s="2">
        <v>1377.7</v>
      </c>
      <c r="G18" s="2">
        <v>4585.1000000000004</v>
      </c>
      <c r="H18" s="2">
        <v>1194.7</v>
      </c>
      <c r="I18" s="2">
        <v>4385.7</v>
      </c>
      <c r="J18" s="2">
        <v>1390.1</v>
      </c>
      <c r="K18" s="2">
        <v>4784.5</v>
      </c>
      <c r="L18" s="2">
        <v>1377.7</v>
      </c>
      <c r="M18" s="2">
        <v>4585.1000000000004</v>
      </c>
      <c r="N18" s="2">
        <v>1194.7</v>
      </c>
      <c r="O18" s="2">
        <v>4385.7</v>
      </c>
      <c r="P18" s="2">
        <v>1217.9000000000001</v>
      </c>
      <c r="Q18" s="2">
        <v>3594.4</v>
      </c>
      <c r="R18" s="2">
        <v>1215.2</v>
      </c>
      <c r="S18" s="2">
        <v>3460.5</v>
      </c>
      <c r="T18" s="2">
        <v>1060.9000000000001</v>
      </c>
      <c r="U18" s="2">
        <v>3326.7</v>
      </c>
    </row>
    <row r="19" spans="1:21" x14ac:dyDescent="0.25">
      <c r="A19" s="1" t="s">
        <v>25</v>
      </c>
      <c r="B19" s="1" t="s">
        <v>19</v>
      </c>
      <c r="C19" s="3">
        <v>13895</v>
      </c>
      <c r="D19" s="3">
        <v>6228</v>
      </c>
      <c r="E19" s="3">
        <v>0</v>
      </c>
      <c r="F19" s="3">
        <v>15721</v>
      </c>
      <c r="G19" s="3">
        <v>6228</v>
      </c>
      <c r="H19" s="3">
        <v>17546</v>
      </c>
      <c r="I19" s="3">
        <v>6228</v>
      </c>
      <c r="J19" s="3">
        <v>13895</v>
      </c>
      <c r="K19" s="3">
        <v>6228</v>
      </c>
      <c r="L19" s="3">
        <v>15721</v>
      </c>
      <c r="M19" s="3">
        <v>6228</v>
      </c>
      <c r="N19" s="3">
        <v>17546</v>
      </c>
      <c r="O19" s="3">
        <v>6228</v>
      </c>
      <c r="P19" s="3">
        <v>13895</v>
      </c>
      <c r="Q19" s="3">
        <v>6228</v>
      </c>
      <c r="R19" s="3">
        <v>15721</v>
      </c>
      <c r="S19" s="3">
        <v>6228</v>
      </c>
      <c r="T19" s="3">
        <v>17546</v>
      </c>
      <c r="U19" s="3">
        <v>6228</v>
      </c>
    </row>
    <row r="20" spans="1:21" x14ac:dyDescent="0.25">
      <c r="A20" s="1" t="s">
        <v>26</v>
      </c>
      <c r="B20" s="1" t="s">
        <v>19</v>
      </c>
      <c r="C20" s="1">
        <v>966</v>
      </c>
      <c r="D20" s="3">
        <v>1328</v>
      </c>
      <c r="E20" s="3">
        <v>0</v>
      </c>
      <c r="F20" s="1">
        <v>957</v>
      </c>
      <c r="G20" s="3">
        <v>1273</v>
      </c>
      <c r="H20" s="1">
        <v>951</v>
      </c>
      <c r="I20" s="3">
        <v>1218</v>
      </c>
      <c r="J20" s="1">
        <v>966</v>
      </c>
      <c r="K20" s="3">
        <v>1328</v>
      </c>
      <c r="L20" s="1">
        <v>957</v>
      </c>
      <c r="M20" s="3">
        <v>1273</v>
      </c>
      <c r="N20" s="1">
        <v>951</v>
      </c>
      <c r="O20" s="3">
        <v>1218</v>
      </c>
      <c r="P20" s="1">
        <v>846</v>
      </c>
      <c r="Q20" s="1">
        <v>998</v>
      </c>
      <c r="R20" s="1">
        <v>846</v>
      </c>
      <c r="S20" s="1">
        <v>961</v>
      </c>
      <c r="T20" s="1">
        <v>846</v>
      </c>
      <c r="U20" s="1">
        <v>924</v>
      </c>
    </row>
    <row r="21" spans="1:21" x14ac:dyDescent="0.25">
      <c r="A21" s="1" t="s">
        <v>27</v>
      </c>
      <c r="B21" s="1" t="s">
        <v>19</v>
      </c>
      <c r="C21" s="1">
        <v>111</v>
      </c>
      <c r="D21" s="1">
        <v>153</v>
      </c>
      <c r="E21" s="1">
        <v>0</v>
      </c>
      <c r="F21" s="1">
        <v>110</v>
      </c>
      <c r="G21" s="1">
        <v>147</v>
      </c>
      <c r="H21" s="1">
        <v>110</v>
      </c>
      <c r="I21" s="1">
        <v>140</v>
      </c>
      <c r="J21" s="1">
        <v>111</v>
      </c>
      <c r="K21" s="1">
        <v>153</v>
      </c>
      <c r="L21" s="1">
        <v>110</v>
      </c>
      <c r="M21" s="1">
        <v>147</v>
      </c>
      <c r="N21" s="1">
        <v>110</v>
      </c>
      <c r="O21" s="1">
        <v>140</v>
      </c>
      <c r="P21" s="1">
        <v>97</v>
      </c>
      <c r="Q21" s="1">
        <v>115</v>
      </c>
      <c r="R21" s="1">
        <v>97</v>
      </c>
      <c r="S21" s="1">
        <v>111</v>
      </c>
      <c r="T21" s="1">
        <v>97</v>
      </c>
      <c r="U21" s="1">
        <v>106</v>
      </c>
    </row>
    <row r="22" spans="1:21" x14ac:dyDescent="0.25">
      <c r="A22" s="1" t="s">
        <v>28</v>
      </c>
      <c r="B22" s="1" t="s">
        <v>19</v>
      </c>
      <c r="C22" s="1">
        <v>362</v>
      </c>
      <c r="D22" s="1">
        <v>498</v>
      </c>
      <c r="E22" s="1">
        <v>0</v>
      </c>
      <c r="F22" s="1">
        <v>359</v>
      </c>
      <c r="G22" s="1">
        <v>477</v>
      </c>
      <c r="H22" s="1">
        <v>356</v>
      </c>
      <c r="I22" s="1">
        <v>456</v>
      </c>
      <c r="J22" s="1">
        <v>362</v>
      </c>
      <c r="K22" s="1">
        <v>498</v>
      </c>
      <c r="L22" s="1">
        <v>359</v>
      </c>
      <c r="M22" s="1">
        <v>477</v>
      </c>
      <c r="N22" s="1">
        <v>356</v>
      </c>
      <c r="O22" s="1">
        <v>456</v>
      </c>
      <c r="P22" s="1">
        <v>317</v>
      </c>
      <c r="Q22" s="1">
        <v>374</v>
      </c>
      <c r="R22" s="1">
        <v>317</v>
      </c>
      <c r="S22" s="1">
        <v>360</v>
      </c>
      <c r="T22" s="1">
        <v>317</v>
      </c>
      <c r="U22" s="1">
        <v>346</v>
      </c>
    </row>
    <row r="23" spans="1:21" x14ac:dyDescent="0.25">
      <c r="A23" s="1" t="s">
        <v>29</v>
      </c>
      <c r="B23" s="1" t="s">
        <v>14</v>
      </c>
      <c r="C23" s="1">
        <v>0.37</v>
      </c>
      <c r="D23" s="1">
        <v>0.41</v>
      </c>
      <c r="E23" s="1">
        <v>0</v>
      </c>
      <c r="F23" s="1">
        <v>0.37</v>
      </c>
      <c r="G23" s="1">
        <v>0.41</v>
      </c>
      <c r="H23" s="1">
        <v>0.37</v>
      </c>
      <c r="I23" s="1">
        <v>0.41</v>
      </c>
      <c r="J23" s="1">
        <v>0.37</v>
      </c>
      <c r="K23" s="1">
        <v>0.41</v>
      </c>
      <c r="L23" s="1">
        <v>0.37</v>
      </c>
      <c r="M23" s="1">
        <v>0.41</v>
      </c>
      <c r="N23" s="1">
        <v>0.37</v>
      </c>
      <c r="O23" s="1">
        <v>0.41</v>
      </c>
      <c r="P23" s="1">
        <v>0.38</v>
      </c>
      <c r="Q23" s="1">
        <v>0.38</v>
      </c>
      <c r="R23" s="1">
        <v>0.38</v>
      </c>
      <c r="S23" s="1">
        <v>0.38</v>
      </c>
      <c r="T23" s="1">
        <v>0.38</v>
      </c>
      <c r="U23" s="1">
        <v>0.38</v>
      </c>
    </row>
    <row r="24" spans="1:21" x14ac:dyDescent="0.25">
      <c r="A24" s="1" t="s">
        <v>30</v>
      </c>
      <c r="B24" s="1" t="s">
        <v>14</v>
      </c>
      <c r="C24" s="1">
        <v>0.39</v>
      </c>
      <c r="D24" s="1">
        <v>0.46</v>
      </c>
      <c r="E24" s="1">
        <v>0</v>
      </c>
      <c r="F24" s="1">
        <v>0.39</v>
      </c>
      <c r="G24" s="1">
        <v>0.46</v>
      </c>
      <c r="H24" s="1">
        <v>0.39</v>
      </c>
      <c r="I24" s="1">
        <v>0.46</v>
      </c>
      <c r="J24" s="1">
        <v>0.39</v>
      </c>
      <c r="K24" s="1">
        <v>0.46</v>
      </c>
      <c r="L24" s="1">
        <v>0.39</v>
      </c>
      <c r="M24" s="1">
        <v>0.46</v>
      </c>
      <c r="N24" s="1">
        <v>0.39</v>
      </c>
      <c r="O24" s="1">
        <v>0.46</v>
      </c>
      <c r="P24" s="1">
        <v>0.39</v>
      </c>
      <c r="Q24" s="1">
        <v>0.38</v>
      </c>
      <c r="R24" s="1">
        <v>0.39</v>
      </c>
      <c r="S24" s="1">
        <v>0.38</v>
      </c>
      <c r="T24" s="1">
        <v>0.39</v>
      </c>
      <c r="U24" s="1">
        <v>0.38</v>
      </c>
    </row>
    <row r="25" spans="1:21" x14ac:dyDescent="0.25">
      <c r="A25" s="1" t="s">
        <v>31</v>
      </c>
      <c r="B25" s="1" t="s">
        <v>14</v>
      </c>
      <c r="C25" s="1">
        <v>0.02</v>
      </c>
      <c r="D25" s="1">
        <v>0.02</v>
      </c>
      <c r="E25" s="1">
        <v>0</v>
      </c>
      <c r="F25" s="1">
        <v>0.02</v>
      </c>
      <c r="G25" s="1">
        <v>0.02</v>
      </c>
      <c r="H25" s="1">
        <v>0.02</v>
      </c>
      <c r="I25" s="1">
        <v>0.02</v>
      </c>
      <c r="J25" s="1">
        <v>0.02</v>
      </c>
      <c r="K25" s="1">
        <v>0.02</v>
      </c>
      <c r="L25" s="1">
        <v>0.02</v>
      </c>
      <c r="M25" s="1">
        <v>0.02</v>
      </c>
      <c r="N25" s="1">
        <v>0.02</v>
      </c>
      <c r="O25" s="1">
        <v>0.02</v>
      </c>
      <c r="P25" s="1">
        <v>0.03</v>
      </c>
      <c r="Q25" s="1">
        <v>0.02</v>
      </c>
      <c r="R25" s="1">
        <v>0.03</v>
      </c>
      <c r="S25" s="1">
        <v>0.02</v>
      </c>
      <c r="T25" s="1">
        <v>0.03</v>
      </c>
      <c r="U25" s="1">
        <v>0.02</v>
      </c>
    </row>
    <row r="26" spans="1:21" x14ac:dyDescent="0.25">
      <c r="A26" s="1" t="s">
        <v>32</v>
      </c>
      <c r="B26" s="1" t="s">
        <v>19</v>
      </c>
      <c r="C26" s="3">
        <v>5918</v>
      </c>
      <c r="D26" s="3">
        <v>2219</v>
      </c>
      <c r="E26" s="3">
        <v>0</v>
      </c>
      <c r="F26" s="3">
        <v>6300</v>
      </c>
      <c r="G26" s="3">
        <v>2242</v>
      </c>
      <c r="H26" s="3">
        <v>6681</v>
      </c>
      <c r="I26" s="3">
        <v>2265</v>
      </c>
      <c r="J26" s="3">
        <v>5918</v>
      </c>
      <c r="K26" s="3">
        <v>2219</v>
      </c>
      <c r="L26" s="3">
        <v>6300</v>
      </c>
      <c r="M26" s="3">
        <v>2242</v>
      </c>
      <c r="N26" s="3">
        <v>6681</v>
      </c>
      <c r="O26" s="3">
        <v>2265</v>
      </c>
      <c r="P26" s="3">
        <v>5918</v>
      </c>
      <c r="Q26" s="3">
        <v>2219</v>
      </c>
      <c r="R26" s="3">
        <v>6300</v>
      </c>
      <c r="S26" s="3">
        <v>2242</v>
      </c>
      <c r="T26" s="3">
        <v>6681</v>
      </c>
      <c r="U26" s="3">
        <v>2265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914BF-AE90-4BE8-894C-61EC99CA55D7}">
  <dimension ref="A1:O21"/>
  <sheetViews>
    <sheetView tabSelected="1" workbookViewId="0">
      <selection activeCell="J10" sqref="J10"/>
    </sheetView>
  </sheetViews>
  <sheetFormatPr defaultRowHeight="15" x14ac:dyDescent="0.25"/>
  <cols>
    <col min="1" max="1" width="24.42578125" bestFit="1" customWidth="1"/>
    <col min="2" max="2" width="4.42578125" bestFit="1" customWidth="1"/>
    <col min="3" max="3" width="12.5703125" bestFit="1" customWidth="1"/>
    <col min="4" max="5" width="11" bestFit="1" customWidth="1"/>
    <col min="6" max="6" width="11" customWidth="1"/>
    <col min="7" max="7" width="11" bestFit="1" customWidth="1"/>
    <col min="8" max="8" width="12.5703125" bestFit="1" customWidth="1"/>
    <col min="9" max="11" width="11" bestFit="1" customWidth="1"/>
    <col min="12" max="12" width="12.5703125" bestFit="1" customWidth="1"/>
    <col min="13" max="15" width="11" bestFit="1" customWidth="1"/>
  </cols>
  <sheetData>
    <row r="1" spans="1:15" x14ac:dyDescent="0.25">
      <c r="A1" s="1" t="s">
        <v>0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2</v>
      </c>
      <c r="I1" s="1" t="s">
        <v>2</v>
      </c>
      <c r="J1" s="1" t="s">
        <v>2</v>
      </c>
      <c r="K1" s="1" t="s">
        <v>2</v>
      </c>
      <c r="L1" s="1" t="s">
        <v>3</v>
      </c>
      <c r="M1" s="1" t="s">
        <v>3</v>
      </c>
      <c r="N1" s="1" t="s">
        <v>3</v>
      </c>
      <c r="O1" s="1" t="s">
        <v>3</v>
      </c>
    </row>
    <row r="2" spans="1:15" x14ac:dyDescent="0.25">
      <c r="A2" s="1" t="s">
        <v>4</v>
      </c>
      <c r="B2" s="1"/>
      <c r="C2" s="1" t="s">
        <v>5</v>
      </c>
      <c r="D2" s="1" t="s">
        <v>5</v>
      </c>
      <c r="E2" s="1" t="s">
        <v>5</v>
      </c>
      <c r="F2" s="1" t="s">
        <v>5</v>
      </c>
      <c r="G2" s="1" t="s">
        <v>5</v>
      </c>
      <c r="H2" s="1" t="s">
        <v>5</v>
      </c>
      <c r="I2" s="1" t="s">
        <v>5</v>
      </c>
      <c r="J2" s="1" t="s">
        <v>5</v>
      </c>
      <c r="K2" s="1" t="s">
        <v>5</v>
      </c>
      <c r="L2" s="1" t="s">
        <v>5</v>
      </c>
      <c r="M2" s="1" t="s">
        <v>5</v>
      </c>
      <c r="N2" s="1" t="s">
        <v>5</v>
      </c>
      <c r="O2" s="1" t="s">
        <v>5</v>
      </c>
    </row>
    <row r="3" spans="1:15" x14ac:dyDescent="0.25">
      <c r="A3" s="1" t="s">
        <v>9</v>
      </c>
      <c r="B3" s="1"/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33</v>
      </c>
      <c r="I3" s="1" t="s">
        <v>34</v>
      </c>
      <c r="J3" s="1" t="s">
        <v>35</v>
      </c>
      <c r="K3" s="1" t="s">
        <v>37</v>
      </c>
      <c r="L3" s="1" t="s">
        <v>33</v>
      </c>
      <c r="M3" s="1" t="s">
        <v>34</v>
      </c>
      <c r="N3" s="1" t="s">
        <v>35</v>
      </c>
      <c r="O3" s="1" t="s">
        <v>37</v>
      </c>
    </row>
    <row r="4" spans="1:15" x14ac:dyDescent="0.25">
      <c r="B4" s="1" t="s">
        <v>13</v>
      </c>
    </row>
    <row r="5" spans="1:15" x14ac:dyDescent="0.25">
      <c r="A5" s="1" t="s">
        <v>52</v>
      </c>
      <c r="B5" s="1" t="s">
        <v>14</v>
      </c>
      <c r="C5" s="1">
        <v>15</v>
      </c>
      <c r="D5" s="1">
        <v>4.2</v>
      </c>
      <c r="E5" s="1">
        <v>0</v>
      </c>
      <c r="F5" s="1">
        <v>0</v>
      </c>
      <c r="G5" s="1">
        <v>12.4</v>
      </c>
      <c r="H5" s="1">
        <v>11.8</v>
      </c>
      <c r="I5" s="1">
        <v>3.3</v>
      </c>
      <c r="J5" s="1">
        <v>0</v>
      </c>
      <c r="K5" s="1">
        <v>10</v>
      </c>
      <c r="L5" s="1">
        <v>11.8</v>
      </c>
      <c r="M5" s="1">
        <v>3.3</v>
      </c>
      <c r="N5" s="1">
        <v>0</v>
      </c>
      <c r="O5" s="1">
        <v>12.4</v>
      </c>
    </row>
    <row r="6" spans="1:15" x14ac:dyDescent="0.25">
      <c r="A6" s="1" t="s">
        <v>53</v>
      </c>
      <c r="B6" s="1" t="s">
        <v>14</v>
      </c>
      <c r="C6" s="1">
        <v>0.2</v>
      </c>
      <c r="D6" s="1">
        <v>0.2</v>
      </c>
      <c r="E6" s="1">
        <v>4.0999999999999996</v>
      </c>
      <c r="F6" s="1">
        <v>0</v>
      </c>
      <c r="G6" s="1">
        <v>1.8</v>
      </c>
      <c r="H6" s="1">
        <v>0.2</v>
      </c>
      <c r="I6" s="1">
        <v>0.1</v>
      </c>
      <c r="J6" s="1">
        <v>3.2</v>
      </c>
      <c r="K6" s="1">
        <v>1.5</v>
      </c>
      <c r="L6" s="1">
        <v>0.2</v>
      </c>
      <c r="M6" s="1">
        <v>0.1</v>
      </c>
      <c r="N6" s="1">
        <v>3.2</v>
      </c>
      <c r="O6" s="1">
        <v>0.5</v>
      </c>
    </row>
    <row r="7" spans="1:15" x14ac:dyDescent="0.25">
      <c r="A7" s="1" t="s">
        <v>55</v>
      </c>
      <c r="B7" s="1" t="s">
        <v>14</v>
      </c>
      <c r="C7" s="1">
        <v>0</v>
      </c>
      <c r="D7" s="1">
        <v>0</v>
      </c>
      <c r="E7" s="1">
        <v>6.2</v>
      </c>
      <c r="F7" s="1">
        <v>0</v>
      </c>
      <c r="G7" s="1">
        <v>24.4</v>
      </c>
      <c r="H7" s="1">
        <v>0</v>
      </c>
      <c r="I7" s="1">
        <v>0</v>
      </c>
      <c r="J7" s="1">
        <v>4.9000000000000004</v>
      </c>
      <c r="K7" s="1">
        <v>19.8</v>
      </c>
      <c r="L7" s="1">
        <v>0</v>
      </c>
      <c r="M7" s="1">
        <v>0</v>
      </c>
      <c r="N7" s="1">
        <v>4.9000000000000004</v>
      </c>
      <c r="O7" s="1">
        <v>87.9</v>
      </c>
    </row>
    <row r="8" spans="1:15" x14ac:dyDescent="0.25">
      <c r="A8" s="1" t="s">
        <v>54</v>
      </c>
      <c r="B8" s="1" t="s">
        <v>14</v>
      </c>
      <c r="C8" s="1">
        <v>476.2</v>
      </c>
      <c r="D8" s="1">
        <v>160.6</v>
      </c>
      <c r="E8" s="2">
        <v>1095.9000000000001</v>
      </c>
      <c r="F8" s="2">
        <v>0</v>
      </c>
      <c r="G8" s="1">
        <v>860.9</v>
      </c>
      <c r="H8" s="1">
        <v>376.2</v>
      </c>
      <c r="I8" s="1">
        <v>126.9</v>
      </c>
      <c r="J8" s="1">
        <v>865.8</v>
      </c>
      <c r="K8" s="1">
        <v>697.3</v>
      </c>
      <c r="L8" s="1">
        <v>376.2</v>
      </c>
      <c r="M8" s="1">
        <v>126.9</v>
      </c>
      <c r="N8" s="1">
        <v>865.8</v>
      </c>
      <c r="O8" s="1">
        <v>554.70000000000005</v>
      </c>
    </row>
    <row r="9" spans="1:15" x14ac:dyDescent="0.25">
      <c r="A9" s="1" t="s">
        <v>38</v>
      </c>
      <c r="B9" s="1" t="s">
        <v>16</v>
      </c>
      <c r="C9" s="1">
        <v>0</v>
      </c>
      <c r="D9" s="1">
        <v>0</v>
      </c>
      <c r="E9" s="2">
        <v>334575.90000000002</v>
      </c>
      <c r="F9" s="10">
        <v>413054</v>
      </c>
      <c r="G9" s="2">
        <v>828020.3</v>
      </c>
      <c r="H9" s="1">
        <v>0</v>
      </c>
      <c r="I9" s="1">
        <v>0</v>
      </c>
      <c r="J9" s="2">
        <v>334575.90000000002</v>
      </c>
      <c r="K9" s="2">
        <v>828020.3</v>
      </c>
      <c r="L9" s="1">
        <v>0</v>
      </c>
      <c r="M9" s="1">
        <v>0</v>
      </c>
      <c r="N9" s="2">
        <v>334575.90000000002</v>
      </c>
      <c r="O9" s="2">
        <v>595647.1</v>
      </c>
    </row>
    <row r="10" spans="1:15" x14ac:dyDescent="0.25">
      <c r="A10" s="1" t="s">
        <v>60</v>
      </c>
      <c r="B10" s="1" t="s">
        <v>19</v>
      </c>
      <c r="C10" s="2">
        <v>55453.7</v>
      </c>
      <c r="D10" s="2">
        <v>30628</v>
      </c>
      <c r="E10" s="2">
        <v>271320.8</v>
      </c>
      <c r="F10" s="2">
        <v>0</v>
      </c>
      <c r="G10" s="2">
        <v>6891.5</v>
      </c>
      <c r="H10" s="2">
        <v>55453.7</v>
      </c>
      <c r="I10" s="2">
        <v>30628</v>
      </c>
      <c r="J10" s="2">
        <v>297096.3</v>
      </c>
      <c r="K10" s="2">
        <v>6891.5</v>
      </c>
      <c r="L10" s="2">
        <v>55453.7</v>
      </c>
      <c r="M10" s="2">
        <v>30628</v>
      </c>
      <c r="N10" s="2">
        <v>322871.7</v>
      </c>
      <c r="O10" s="2">
        <v>6891.5</v>
      </c>
    </row>
    <row r="11" spans="1:15" x14ac:dyDescent="0.25">
      <c r="A11" s="1" t="s">
        <v>39</v>
      </c>
      <c r="B11" s="1" t="s">
        <v>19</v>
      </c>
      <c r="C11" s="2">
        <f>C10*0.25</f>
        <v>13863.424999999999</v>
      </c>
      <c r="D11" s="2">
        <f>D10*0.27</f>
        <v>8269.5600000000013</v>
      </c>
      <c r="E11" s="2">
        <f t="shared" ref="E11:O11" si="0">E10*0.25</f>
        <v>67830.2</v>
      </c>
      <c r="F11" s="2">
        <f t="shared" si="0"/>
        <v>0</v>
      </c>
      <c r="G11" s="2">
        <f t="shared" si="0"/>
        <v>1722.875</v>
      </c>
      <c r="H11" s="2">
        <f t="shared" si="0"/>
        <v>13863.424999999999</v>
      </c>
      <c r="I11" s="2">
        <f>I10*0.27</f>
        <v>8269.5600000000013</v>
      </c>
      <c r="J11" s="2">
        <f t="shared" si="0"/>
        <v>74274.074999999997</v>
      </c>
      <c r="K11" s="2">
        <f t="shared" si="0"/>
        <v>1722.875</v>
      </c>
      <c r="L11" s="2">
        <f t="shared" si="0"/>
        <v>13863.424999999999</v>
      </c>
      <c r="M11" s="2">
        <f>M10*0.27</f>
        <v>8269.5600000000013</v>
      </c>
      <c r="N11" s="2">
        <f t="shared" si="0"/>
        <v>80717.925000000003</v>
      </c>
      <c r="O11" s="2">
        <f t="shared" si="0"/>
        <v>1722.875</v>
      </c>
    </row>
    <row r="12" spans="1:15" x14ac:dyDescent="0.25">
      <c r="A12" s="1" t="s">
        <v>21</v>
      </c>
      <c r="B12" s="1" t="s">
        <v>19</v>
      </c>
      <c r="C12" s="2">
        <v>55453.7</v>
      </c>
      <c r="D12" s="2">
        <v>30628</v>
      </c>
      <c r="E12" s="2">
        <v>176358.5</v>
      </c>
      <c r="F12" s="2">
        <v>0</v>
      </c>
      <c r="G12" s="2">
        <v>6891.5</v>
      </c>
      <c r="H12" s="2">
        <v>55453.7</v>
      </c>
      <c r="I12" s="2">
        <v>30628</v>
      </c>
      <c r="J12" s="2">
        <v>193112.6</v>
      </c>
      <c r="K12" s="2">
        <v>6891.5</v>
      </c>
      <c r="L12" s="2">
        <v>55453.7</v>
      </c>
      <c r="M12" s="2">
        <v>30628</v>
      </c>
      <c r="N12" s="2">
        <v>209866.6</v>
      </c>
      <c r="O12" s="2">
        <v>6891.5</v>
      </c>
    </row>
    <row r="13" spans="1:15" x14ac:dyDescent="0.25">
      <c r="A13" s="1" t="s">
        <v>24</v>
      </c>
      <c r="B13" s="1" t="s">
        <v>16</v>
      </c>
      <c r="C13" s="1">
        <v>0</v>
      </c>
      <c r="D13" s="1">
        <v>0</v>
      </c>
      <c r="E13" s="1">
        <v>0</v>
      </c>
      <c r="F13" s="1">
        <v>0</v>
      </c>
      <c r="G13" s="2">
        <v>276006.8</v>
      </c>
      <c r="H13" s="1">
        <v>0</v>
      </c>
      <c r="I13" s="1">
        <v>0</v>
      </c>
      <c r="J13" s="1">
        <v>0</v>
      </c>
      <c r="K13" s="2">
        <v>276006.8</v>
      </c>
      <c r="L13" s="1">
        <v>0</v>
      </c>
      <c r="M13" s="1">
        <v>0</v>
      </c>
      <c r="N13" s="1">
        <v>0</v>
      </c>
      <c r="O13" s="2">
        <v>198549</v>
      </c>
    </row>
    <row r="14" spans="1:15" x14ac:dyDescent="0.25">
      <c r="A14" s="1" t="s">
        <v>25</v>
      </c>
      <c r="B14" s="1" t="s">
        <v>19</v>
      </c>
      <c r="C14" s="2">
        <v>1322672.5</v>
      </c>
      <c r="D14" s="2">
        <v>513073.8</v>
      </c>
      <c r="E14" s="1">
        <v>0</v>
      </c>
      <c r="F14" s="1">
        <v>0</v>
      </c>
      <c r="G14" s="2">
        <v>299336.40000000002</v>
      </c>
      <c r="H14" s="2">
        <v>1322672.5</v>
      </c>
      <c r="I14" s="2">
        <v>513073.8</v>
      </c>
      <c r="J14" s="1">
        <v>0</v>
      </c>
      <c r="K14" s="2">
        <v>299336.40000000002</v>
      </c>
      <c r="L14" s="2">
        <v>1322672.5</v>
      </c>
      <c r="M14" s="2">
        <v>513073.8</v>
      </c>
      <c r="N14" s="1">
        <v>0</v>
      </c>
      <c r="O14" s="2">
        <v>299336.40000000002</v>
      </c>
    </row>
    <row r="15" spans="1:15" x14ac:dyDescent="0.25">
      <c r="A15" s="1" t="s">
        <v>26</v>
      </c>
      <c r="B15" s="1" t="s">
        <v>19</v>
      </c>
      <c r="C15" s="1">
        <v>0</v>
      </c>
      <c r="D15" s="1">
        <v>0</v>
      </c>
      <c r="E15" s="2">
        <v>42368.9</v>
      </c>
      <c r="F15" s="2">
        <v>0</v>
      </c>
      <c r="G15" s="2">
        <v>76626</v>
      </c>
      <c r="H15" s="1">
        <v>0</v>
      </c>
      <c r="I15" s="1">
        <v>0</v>
      </c>
      <c r="J15" s="2">
        <v>42368.9</v>
      </c>
      <c r="K15" s="2">
        <v>76626</v>
      </c>
      <c r="L15" s="1">
        <v>0</v>
      </c>
      <c r="M15" s="1">
        <v>0</v>
      </c>
      <c r="N15" s="2">
        <v>42368.9</v>
      </c>
      <c r="O15" s="2">
        <v>55121.9</v>
      </c>
    </row>
    <row r="16" spans="1:15" x14ac:dyDescent="0.25">
      <c r="A16" s="1" t="s">
        <v>27</v>
      </c>
      <c r="B16" s="1" t="s">
        <v>19</v>
      </c>
      <c r="C16" s="1">
        <v>0</v>
      </c>
      <c r="D16" s="1">
        <v>0</v>
      </c>
      <c r="E16" s="2">
        <v>11050.2</v>
      </c>
      <c r="F16" s="2">
        <v>0</v>
      </c>
      <c r="G16" s="2">
        <v>8824.7000000000007</v>
      </c>
      <c r="H16" s="1">
        <v>0</v>
      </c>
      <c r="I16" s="1">
        <v>0</v>
      </c>
      <c r="J16" s="2">
        <v>11050.2</v>
      </c>
      <c r="K16" s="2">
        <v>8824.7000000000007</v>
      </c>
      <c r="L16" s="1">
        <v>0</v>
      </c>
      <c r="M16" s="1">
        <v>0</v>
      </c>
      <c r="N16" s="2">
        <v>11050.2</v>
      </c>
      <c r="O16" s="2">
        <v>6348.2</v>
      </c>
    </row>
    <row r="17" spans="1:15" x14ac:dyDescent="0.25">
      <c r="A17" s="1" t="s">
        <v>28</v>
      </c>
      <c r="B17" s="1" t="s">
        <v>19</v>
      </c>
      <c r="C17" s="1">
        <v>0</v>
      </c>
      <c r="D17" s="1">
        <v>0</v>
      </c>
      <c r="E17" s="2">
        <v>35765.5</v>
      </c>
      <c r="F17" s="2">
        <v>0</v>
      </c>
      <c r="G17" s="2">
        <v>28722.799999999999</v>
      </c>
      <c r="H17" s="1">
        <v>0</v>
      </c>
      <c r="I17" s="1">
        <v>0</v>
      </c>
      <c r="J17" s="2">
        <v>35765.5</v>
      </c>
      <c r="K17" s="2">
        <v>28722.799999999999</v>
      </c>
      <c r="L17" s="1">
        <v>0</v>
      </c>
      <c r="M17" s="1">
        <v>0</v>
      </c>
      <c r="N17" s="2">
        <v>35765.5</v>
      </c>
      <c r="O17" s="2">
        <v>20662.099999999999</v>
      </c>
    </row>
    <row r="18" spans="1:15" x14ac:dyDescent="0.25">
      <c r="A18" s="1" t="s">
        <v>56</v>
      </c>
      <c r="B18" s="1" t="s">
        <v>14</v>
      </c>
      <c r="C18" s="1">
        <v>1.1000000000000001</v>
      </c>
      <c r="D18" s="1">
        <v>0.8</v>
      </c>
      <c r="E18" s="1">
        <v>2.8</v>
      </c>
      <c r="F18" s="1">
        <v>0</v>
      </c>
      <c r="G18" s="1">
        <v>5.6</v>
      </c>
      <c r="H18" s="1">
        <v>1.1000000000000001</v>
      </c>
      <c r="I18" s="1">
        <v>0.8</v>
      </c>
      <c r="J18" s="1">
        <v>2.8</v>
      </c>
      <c r="K18" s="1">
        <v>5.6</v>
      </c>
      <c r="L18" s="1">
        <v>1.1000000000000001</v>
      </c>
      <c r="M18" s="1">
        <v>0.8</v>
      </c>
      <c r="N18" s="1">
        <v>2.8</v>
      </c>
      <c r="O18" s="1">
        <v>3.8</v>
      </c>
    </row>
    <row r="19" spans="1:15" x14ac:dyDescent="0.25">
      <c r="A19" s="1" t="s">
        <v>30</v>
      </c>
      <c r="B19" s="1" t="s">
        <v>14</v>
      </c>
      <c r="C19" s="1">
        <v>1.3</v>
      </c>
      <c r="D19" s="1">
        <v>1.1000000000000001</v>
      </c>
      <c r="E19" s="1">
        <v>12.8</v>
      </c>
      <c r="F19" s="1">
        <v>0</v>
      </c>
      <c r="G19" s="1">
        <v>24.6</v>
      </c>
      <c r="H19" s="1">
        <v>1.3</v>
      </c>
      <c r="I19" s="1">
        <v>1.1000000000000001</v>
      </c>
      <c r="J19" s="1">
        <v>12.8</v>
      </c>
      <c r="K19" s="1">
        <v>24.6</v>
      </c>
      <c r="L19" s="1">
        <v>1.3</v>
      </c>
      <c r="M19" s="1">
        <v>1.1000000000000001</v>
      </c>
      <c r="N19" s="1">
        <v>12.8</v>
      </c>
      <c r="O19" s="1">
        <v>18.3</v>
      </c>
    </row>
    <row r="20" spans="1:15" x14ac:dyDescent="0.25">
      <c r="A20" s="1" t="s">
        <v>31</v>
      </c>
      <c r="B20" s="1" t="s">
        <v>14</v>
      </c>
      <c r="C20" s="1">
        <v>0.1</v>
      </c>
      <c r="D20" s="1">
        <v>0.1</v>
      </c>
      <c r="E20" s="1">
        <v>0</v>
      </c>
      <c r="F20" s="1">
        <v>0</v>
      </c>
      <c r="G20" s="1">
        <v>2.6</v>
      </c>
      <c r="H20" s="1">
        <v>0.1</v>
      </c>
      <c r="I20" s="1">
        <v>0.1</v>
      </c>
      <c r="J20" s="1">
        <v>0</v>
      </c>
      <c r="K20" s="1">
        <v>2.6</v>
      </c>
      <c r="L20" s="1">
        <v>0.1</v>
      </c>
      <c r="M20" s="1">
        <v>0.1</v>
      </c>
      <c r="N20" s="1">
        <v>0</v>
      </c>
      <c r="O20" s="1">
        <v>1.8</v>
      </c>
    </row>
    <row r="21" spans="1:15" x14ac:dyDescent="0.25">
      <c r="A21" s="1" t="s">
        <v>32</v>
      </c>
      <c r="B21" s="1" t="s">
        <v>19</v>
      </c>
      <c r="C21" s="2">
        <v>205096.1</v>
      </c>
      <c r="D21" s="2">
        <v>233019</v>
      </c>
      <c r="E21" s="1">
        <v>0</v>
      </c>
      <c r="F21" s="1">
        <v>0</v>
      </c>
      <c r="G21" s="1">
        <v>0</v>
      </c>
      <c r="H21" s="2">
        <v>205096.1</v>
      </c>
      <c r="I21" s="2">
        <v>233019</v>
      </c>
      <c r="J21" s="1">
        <v>0</v>
      </c>
      <c r="K21" s="1">
        <v>0</v>
      </c>
      <c r="L21" s="2">
        <v>205096.1</v>
      </c>
      <c r="M21" s="2">
        <v>233019</v>
      </c>
      <c r="N21" s="1">
        <v>0</v>
      </c>
      <c r="O2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0CC04-5781-4AB2-AD88-17D811E13974}">
  <dimension ref="A1:G7"/>
  <sheetViews>
    <sheetView workbookViewId="0">
      <selection sqref="A1:G7"/>
    </sheetView>
  </sheetViews>
  <sheetFormatPr defaultRowHeight="15" x14ac:dyDescent="0.25"/>
  <sheetData>
    <row r="1" spans="1:7" x14ac:dyDescent="0.25">
      <c r="A1" s="1" t="s">
        <v>40</v>
      </c>
      <c r="B1" s="1" t="s">
        <v>10</v>
      </c>
      <c r="C1" s="1" t="s">
        <v>11</v>
      </c>
      <c r="D1" s="1" t="s">
        <v>37</v>
      </c>
      <c r="E1" s="1" t="s">
        <v>33</v>
      </c>
      <c r="F1" s="1" t="s">
        <v>34</v>
      </c>
      <c r="G1" s="1" t="s">
        <v>35</v>
      </c>
    </row>
    <row r="2" spans="1:7" x14ac:dyDescent="0.25">
      <c r="A2" s="1">
        <v>2020</v>
      </c>
      <c r="B2" s="1">
        <v>151.19</v>
      </c>
      <c r="C2" s="1">
        <v>95.3</v>
      </c>
      <c r="D2" s="1">
        <v>1</v>
      </c>
      <c r="E2" s="1">
        <v>1</v>
      </c>
      <c r="F2" s="1">
        <v>1</v>
      </c>
      <c r="G2" s="1">
        <v>1</v>
      </c>
    </row>
    <row r="3" spans="1:7" x14ac:dyDescent="0.25">
      <c r="A3" s="1">
        <v>2021</v>
      </c>
      <c r="B3" s="1">
        <v>155.49</v>
      </c>
      <c r="C3" s="1">
        <v>91.5</v>
      </c>
      <c r="D3" s="1">
        <v>1.02</v>
      </c>
      <c r="E3" s="1">
        <v>1.05</v>
      </c>
      <c r="F3" s="1">
        <v>0.99</v>
      </c>
      <c r="G3" s="1">
        <v>1</v>
      </c>
    </row>
    <row r="4" spans="1:7" x14ac:dyDescent="0.25">
      <c r="A4" s="1">
        <v>2022</v>
      </c>
      <c r="B4" s="1">
        <v>156.88</v>
      </c>
      <c r="C4" s="1">
        <v>88.75</v>
      </c>
      <c r="D4" s="1">
        <v>1.04</v>
      </c>
      <c r="E4" s="1">
        <v>0.98</v>
      </c>
      <c r="F4" s="1">
        <v>0.97</v>
      </c>
      <c r="G4" s="1">
        <v>1</v>
      </c>
    </row>
    <row r="5" spans="1:7" x14ac:dyDescent="0.25">
      <c r="A5" s="1">
        <v>2023</v>
      </c>
      <c r="B5" s="1">
        <v>157.88</v>
      </c>
      <c r="C5" s="1">
        <v>84.54</v>
      </c>
      <c r="D5" s="1">
        <v>1.03</v>
      </c>
      <c r="E5" s="1">
        <v>0.94</v>
      </c>
      <c r="F5" s="1">
        <v>1</v>
      </c>
      <c r="G5" s="1">
        <v>1</v>
      </c>
    </row>
    <row r="6" spans="1:7" x14ac:dyDescent="0.25">
      <c r="A6" s="1">
        <v>2024</v>
      </c>
      <c r="B6" s="1">
        <v>155.27000000000001</v>
      </c>
      <c r="C6" s="1">
        <v>79.66</v>
      </c>
      <c r="D6" s="1">
        <v>0.94</v>
      </c>
      <c r="E6" s="1">
        <v>0.97</v>
      </c>
      <c r="F6" s="1">
        <v>1</v>
      </c>
      <c r="G6" s="1">
        <v>1</v>
      </c>
    </row>
    <row r="7" spans="1:7" x14ac:dyDescent="0.25">
      <c r="A7" s="1">
        <v>2025</v>
      </c>
      <c r="B7" s="1">
        <v>153.37</v>
      </c>
      <c r="C7" s="1">
        <v>75.739999999999995</v>
      </c>
      <c r="D7" s="1">
        <v>0.93</v>
      </c>
      <c r="E7" s="1">
        <v>0.94</v>
      </c>
      <c r="F7" s="1">
        <v>1</v>
      </c>
      <c r="G7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E4ACF-1B07-432B-B403-AB02D8214878}">
  <dimension ref="A1:V18"/>
  <sheetViews>
    <sheetView workbookViewId="0">
      <selection activeCell="A8" sqref="A8"/>
    </sheetView>
  </sheetViews>
  <sheetFormatPr defaultRowHeight="15" x14ac:dyDescent="0.25"/>
  <cols>
    <col min="1" max="1" width="15.42578125" bestFit="1" customWidth="1"/>
    <col min="3" max="9" width="21.28515625" customWidth="1"/>
  </cols>
  <sheetData>
    <row r="1" spans="1:22" x14ac:dyDescent="0.25">
      <c r="A1" t="s">
        <v>41</v>
      </c>
      <c r="C1" t="s">
        <v>42</v>
      </c>
      <c r="D1" t="s">
        <v>42</v>
      </c>
      <c r="E1" t="s">
        <v>43</v>
      </c>
      <c r="F1" s="4" t="s">
        <v>44</v>
      </c>
      <c r="G1" t="s">
        <v>44</v>
      </c>
      <c r="H1" t="s">
        <v>45</v>
      </c>
      <c r="I1" t="s">
        <v>45</v>
      </c>
      <c r="S1" s="4"/>
    </row>
    <row r="2" spans="1:22" x14ac:dyDescent="0.25">
      <c r="A2" t="s">
        <v>46</v>
      </c>
      <c r="C2" t="s">
        <v>47</v>
      </c>
      <c r="D2" t="s">
        <v>48</v>
      </c>
      <c r="E2" t="s">
        <v>49</v>
      </c>
      <c r="F2" t="s">
        <v>47</v>
      </c>
      <c r="G2" t="s">
        <v>48</v>
      </c>
      <c r="H2" t="s">
        <v>47</v>
      </c>
      <c r="I2" t="s">
        <v>48</v>
      </c>
    </row>
    <row r="3" spans="1:22" x14ac:dyDescent="0.25">
      <c r="B3" t="s">
        <v>13</v>
      </c>
    </row>
    <row r="4" spans="1:22" x14ac:dyDescent="0.25">
      <c r="A4" t="s">
        <v>52</v>
      </c>
      <c r="B4" t="s">
        <v>50</v>
      </c>
      <c r="C4" s="5">
        <v>7.1881986300011903E-5</v>
      </c>
      <c r="D4" s="5">
        <v>1.7940179031682469E-4</v>
      </c>
      <c r="E4" s="5">
        <v>7.2930000000000008E-5</v>
      </c>
      <c r="F4" s="5">
        <v>3.3200000000000001E-5</v>
      </c>
      <c r="G4" s="5">
        <v>2.1599999999999999E-4</v>
      </c>
      <c r="H4" s="5">
        <v>3.3200000000000001E-5</v>
      </c>
      <c r="I4" s="5">
        <v>2.1599999999999999E-4</v>
      </c>
      <c r="J4" s="4"/>
      <c r="K4" s="4"/>
      <c r="L4" s="4"/>
      <c r="M4" s="4"/>
      <c r="U4" s="6"/>
      <c r="V4" s="6"/>
    </row>
    <row r="5" spans="1:22" x14ac:dyDescent="0.25">
      <c r="A5" t="s">
        <v>53</v>
      </c>
      <c r="B5" t="s">
        <v>50</v>
      </c>
      <c r="C5">
        <v>0</v>
      </c>
      <c r="D5">
        <v>0</v>
      </c>
      <c r="E5">
        <v>0</v>
      </c>
      <c r="F5" s="5">
        <v>4.7142857142857145E-7</v>
      </c>
      <c r="G5">
        <v>0</v>
      </c>
      <c r="H5" s="5">
        <v>4.7142857142857145E-7</v>
      </c>
      <c r="I5">
        <v>0</v>
      </c>
      <c r="J5" s="4"/>
      <c r="K5" s="4"/>
      <c r="L5" s="4"/>
      <c r="M5" s="4"/>
      <c r="U5" s="6"/>
      <c r="V5" s="6"/>
    </row>
    <row r="6" spans="1:22" x14ac:dyDescent="0.25">
      <c r="A6" t="s">
        <v>55</v>
      </c>
      <c r="B6" t="s">
        <v>50</v>
      </c>
      <c r="C6" s="5">
        <v>1.1401233025364475E-3</v>
      </c>
      <c r="D6" s="5">
        <v>1.7100330521300073E-3</v>
      </c>
      <c r="E6" s="5">
        <v>-5.8666666666666665E-4</v>
      </c>
      <c r="F6" s="5">
        <v>1.9470000000000001E-2</v>
      </c>
      <c r="G6" s="5">
        <v>2.7133333333333337E-3</v>
      </c>
      <c r="H6" s="5">
        <v>8.7999999999999988E-3</v>
      </c>
      <c r="I6" s="5">
        <v>2.7133333333333337E-3</v>
      </c>
      <c r="J6" s="4"/>
      <c r="K6" s="4"/>
      <c r="L6" s="4"/>
      <c r="M6" s="4"/>
      <c r="U6" s="6"/>
      <c r="V6" s="6"/>
    </row>
    <row r="7" spans="1:22" x14ac:dyDescent="0.25">
      <c r="A7" t="s">
        <v>54</v>
      </c>
      <c r="B7" t="s">
        <v>50</v>
      </c>
      <c r="C7" s="5">
        <v>3.1528189189367808E-3</v>
      </c>
      <c r="D7" s="5">
        <v>6.7332831810010992E-3</v>
      </c>
      <c r="E7" s="5">
        <v>1.4553733333333334E-3</v>
      </c>
      <c r="F7" s="5">
        <v>2.0522171428571431E-2</v>
      </c>
      <c r="G7" s="5">
        <v>8.7613333333333328E-3</v>
      </c>
      <c r="H7" s="5">
        <v>9.8521714285714282E-3</v>
      </c>
      <c r="I7" s="5">
        <v>8.7613333333333328E-3</v>
      </c>
      <c r="J7" s="4"/>
      <c r="K7" s="4"/>
      <c r="L7" s="4"/>
      <c r="M7" s="4"/>
      <c r="U7" s="6"/>
      <c r="V7" s="6"/>
    </row>
    <row r="8" spans="1:22" x14ac:dyDescent="0.25">
      <c r="A8" t="s">
        <v>51</v>
      </c>
      <c r="B8" s="7" t="s">
        <v>16</v>
      </c>
      <c r="C8">
        <v>0</v>
      </c>
      <c r="D8" s="7">
        <v>1</v>
      </c>
      <c r="E8" s="4">
        <v>0.5</v>
      </c>
      <c r="F8" s="4">
        <v>0</v>
      </c>
      <c r="G8" s="4">
        <v>1</v>
      </c>
      <c r="H8" s="4">
        <v>0</v>
      </c>
      <c r="I8" s="4">
        <v>1</v>
      </c>
      <c r="J8" s="4"/>
      <c r="K8" s="4"/>
      <c r="L8" s="4"/>
      <c r="M8" s="4"/>
      <c r="U8" s="4"/>
      <c r="V8" s="4"/>
    </row>
    <row r="9" spans="1:22" x14ac:dyDescent="0.25">
      <c r="A9" t="s">
        <v>38</v>
      </c>
      <c r="B9" t="s">
        <v>16</v>
      </c>
      <c r="C9" s="8">
        <v>141000</v>
      </c>
      <c r="D9" s="8">
        <v>198126.61068124772</v>
      </c>
      <c r="E9" s="8">
        <v>884423.94338604005</v>
      </c>
      <c r="F9" s="8">
        <v>41150</v>
      </c>
      <c r="G9" s="8">
        <v>65890</v>
      </c>
      <c r="H9" s="8">
        <v>83930</v>
      </c>
      <c r="I9" s="8">
        <v>18610</v>
      </c>
      <c r="J9" s="4"/>
      <c r="K9" s="4"/>
      <c r="L9" s="4"/>
      <c r="M9" s="4"/>
      <c r="U9" s="4"/>
      <c r="V9" s="4"/>
    </row>
    <row r="10" spans="1:22" x14ac:dyDescent="0.25">
      <c r="B10" s="4"/>
      <c r="D10" s="7"/>
      <c r="F10" s="7"/>
      <c r="G10" s="7"/>
      <c r="H10" s="7"/>
      <c r="I10" s="7"/>
      <c r="J10" s="7"/>
      <c r="K10" s="7"/>
      <c r="L10" s="7"/>
      <c r="M10" s="7"/>
      <c r="N10" s="4"/>
    </row>
    <row r="11" spans="1:22" x14ac:dyDescent="0.25">
      <c r="B11" s="4"/>
      <c r="N11" s="4"/>
    </row>
    <row r="12" spans="1:22" x14ac:dyDescent="0.25">
      <c r="B12" s="4"/>
      <c r="C12" s="4"/>
    </row>
    <row r="13" spans="1:22" x14ac:dyDescent="0.25">
      <c r="B13" s="4"/>
      <c r="C13" s="4"/>
      <c r="D13" s="4"/>
      <c r="E13" s="4"/>
      <c r="F13" s="4"/>
      <c r="G13" s="4"/>
      <c r="H13" s="4"/>
      <c r="I13" s="4"/>
      <c r="J13" s="4"/>
      <c r="K13" s="9"/>
      <c r="L13" s="4"/>
      <c r="M13" s="4"/>
      <c r="N13" s="9"/>
    </row>
    <row r="14" spans="1:22" x14ac:dyDescent="0.25">
      <c r="B14" s="4"/>
      <c r="C14" s="8"/>
      <c r="D14" s="8"/>
    </row>
    <row r="15" spans="1:22" x14ac:dyDescent="0.25">
      <c r="B15" s="4"/>
      <c r="C15" s="8"/>
      <c r="D15" s="8"/>
      <c r="E15" s="4"/>
    </row>
    <row r="16" spans="1:22" x14ac:dyDescent="0.25">
      <c r="B16" s="4"/>
      <c r="C16" s="8"/>
      <c r="D16" s="8"/>
      <c r="E16" s="4"/>
    </row>
    <row r="17" spans="4:4" x14ac:dyDescent="0.25">
      <c r="D17" s="8"/>
    </row>
    <row r="18" spans="4:4" x14ac:dyDescent="0.25">
      <c r="D1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cattle</vt:lpstr>
      <vt:lpstr>non_cattle</vt:lpstr>
      <vt:lpstr>scalers</vt:lpstr>
      <vt:lpstr>organic_soils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Michael Mittermaier</cp:lastModifiedBy>
  <cp:revision/>
  <dcterms:created xsi:type="dcterms:W3CDTF">2025-12-10T10:48:46Z</dcterms:created>
  <dcterms:modified xsi:type="dcterms:W3CDTF">2026-09-14T12:23:08Z</dcterms:modified>
  <cp:category/>
  <cp:contentStatus/>
</cp:coreProperties>
</file>